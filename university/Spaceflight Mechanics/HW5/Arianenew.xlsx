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\Desktop\Uni\4 anno\Meccanica del Volo Spaziale\esercitazioni\Es5\"/>
    </mc:Choice>
  </mc:AlternateContent>
  <xr:revisionPtr revIDLastSave="0" documentId="13_ncr:1_{ADBA3B5B-440C-4F3A-8CEF-4CE9529F65F4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Launcher" sheetId="4" r:id="rId1"/>
    <sheet name="Optim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4" l="1"/>
  <c r="J6" i="4"/>
  <c r="K6" i="4"/>
  <c r="I7" i="4"/>
  <c r="J7" i="4"/>
  <c r="K7" i="4"/>
  <c r="A7" i="2"/>
  <c r="B16" i="4"/>
  <c r="A20" i="2" l="1"/>
  <c r="A8" i="2"/>
  <c r="A9" i="2" s="1"/>
  <c r="A10" i="2" s="1"/>
  <c r="C32" i="4"/>
  <c r="D32" i="4"/>
  <c r="B32" i="4"/>
  <c r="B83" i="4"/>
  <c r="E24" i="4"/>
  <c r="E26" i="4" s="1"/>
  <c r="D26" i="4"/>
  <c r="D27" i="4" s="1"/>
  <c r="C26" i="4"/>
  <c r="C27" i="4" s="1"/>
  <c r="B26" i="4"/>
  <c r="B27" i="4" s="1"/>
  <c r="J12" i="4"/>
  <c r="C76" i="4" s="1"/>
  <c r="K12" i="4"/>
  <c r="D76" i="4" s="1"/>
  <c r="I12" i="4"/>
  <c r="B76" i="4" s="1"/>
  <c r="C71" i="4"/>
  <c r="D71" i="4"/>
  <c r="B71" i="4"/>
  <c r="I3" i="2"/>
  <c r="D2" i="2"/>
  <c r="E2" i="2"/>
  <c r="E3" i="2" s="1"/>
  <c r="C2" i="2"/>
  <c r="C3" i="2" s="1"/>
  <c r="D1" i="2"/>
  <c r="E1" i="2"/>
  <c r="C1" i="2"/>
  <c r="A46" i="2"/>
  <c r="A47" i="2" s="1"/>
  <c r="A33" i="2"/>
  <c r="A34" i="2" s="1"/>
  <c r="A35" i="2" s="1"/>
  <c r="A36" i="2" s="1"/>
  <c r="A21" i="2"/>
  <c r="A22" i="2" s="1"/>
  <c r="A23" i="2" s="1"/>
  <c r="D3" i="2"/>
  <c r="F12" i="4"/>
  <c r="C13" i="4" s="1"/>
  <c r="E9" i="4"/>
  <c r="E6" i="4"/>
  <c r="D7" i="2" l="1"/>
  <c r="G7" i="2" s="1"/>
  <c r="F26" i="4"/>
  <c r="F24" i="4" s="1"/>
  <c r="D8" i="2"/>
  <c r="G8" i="2" s="1"/>
  <c r="D35" i="2"/>
  <c r="G35" i="2" s="1"/>
  <c r="D46" i="2"/>
  <c r="G46" i="2" s="1"/>
  <c r="D9" i="2"/>
  <c r="G9" i="2" s="1"/>
  <c r="D6" i="2"/>
  <c r="G6" i="2" s="1"/>
  <c r="D32" i="2"/>
  <c r="G32" i="2" s="1"/>
  <c r="D45" i="2"/>
  <c r="G45" i="2" s="1"/>
  <c r="D47" i="2"/>
  <c r="G47" i="2" s="1"/>
  <c r="D36" i="2"/>
  <c r="G36" i="2" s="1"/>
  <c r="D22" i="2"/>
  <c r="G22" i="2" s="1"/>
  <c r="J16" i="4"/>
  <c r="D15" i="4"/>
  <c r="D16" i="4" s="1"/>
  <c r="D9" i="4" s="1"/>
  <c r="D6" i="4" s="1"/>
  <c r="D29" i="4"/>
  <c r="Q25" i="4" s="1"/>
  <c r="C29" i="4"/>
  <c r="D21" i="2"/>
  <c r="G21" i="2" s="1"/>
  <c r="D34" i="2"/>
  <c r="G34" i="2" s="1"/>
  <c r="D20" i="2"/>
  <c r="G20" i="2" s="1"/>
  <c r="K16" i="4"/>
  <c r="B29" i="4"/>
  <c r="D13" i="4"/>
  <c r="C15" i="4"/>
  <c r="C16" i="4" s="1"/>
  <c r="B15" i="4"/>
  <c r="B13" i="4"/>
  <c r="E34" i="2"/>
  <c r="H34" i="2" s="1"/>
  <c r="E19" i="2"/>
  <c r="H19" i="2" s="1"/>
  <c r="E7" i="2"/>
  <c r="H7" i="2" s="1"/>
  <c r="E6" i="2"/>
  <c r="H6" i="2" s="1"/>
  <c r="E20" i="2"/>
  <c r="H20" i="2" s="1"/>
  <c r="E23" i="2"/>
  <c r="H23" i="2" s="1"/>
  <c r="E9" i="2"/>
  <c r="H9" i="2" s="1"/>
  <c r="E21" i="2"/>
  <c r="H21" i="2" s="1"/>
  <c r="E8" i="2"/>
  <c r="H8" i="2" s="1"/>
  <c r="E45" i="2"/>
  <c r="H45" i="2" s="1"/>
  <c r="E46" i="2"/>
  <c r="H46" i="2" s="1"/>
  <c r="E22" i="2"/>
  <c r="H22" i="2" s="1"/>
  <c r="E32" i="2"/>
  <c r="H32" i="2" s="1"/>
  <c r="E33" i="2"/>
  <c r="H33" i="2" s="1"/>
  <c r="E35" i="2"/>
  <c r="H35" i="2" s="1"/>
  <c r="D33" i="2"/>
  <c r="G33" i="2" s="1"/>
  <c r="D19" i="2"/>
  <c r="G19" i="2" s="1"/>
  <c r="C47" i="2"/>
  <c r="F47" i="2" s="1"/>
  <c r="C34" i="2"/>
  <c r="F34" i="2" s="1"/>
  <c r="C35" i="2"/>
  <c r="F35" i="2" s="1"/>
  <c r="C32" i="2"/>
  <c r="F32" i="2" s="1"/>
  <c r="C33" i="2"/>
  <c r="F33" i="2" s="1"/>
  <c r="C8" i="2"/>
  <c r="F8" i="2" s="1"/>
  <c r="C46" i="2"/>
  <c r="F46" i="2" s="1"/>
  <c r="C45" i="2"/>
  <c r="F45" i="2" s="1"/>
  <c r="C21" i="2"/>
  <c r="F21" i="2" s="1"/>
  <c r="C23" i="2"/>
  <c r="F23" i="2" s="1"/>
  <c r="C7" i="2"/>
  <c r="F7" i="2" s="1"/>
  <c r="C22" i="2"/>
  <c r="F22" i="2" s="1"/>
  <c r="C19" i="2"/>
  <c r="F19" i="2" s="1"/>
  <c r="C36" i="2"/>
  <c r="F36" i="2" s="1"/>
  <c r="C6" i="2"/>
  <c r="F6" i="2" s="1"/>
  <c r="C20" i="2"/>
  <c r="F20" i="2" s="1"/>
  <c r="A24" i="2"/>
  <c r="D23" i="2"/>
  <c r="G23" i="2" s="1"/>
  <c r="C9" i="2"/>
  <c r="F9" i="2" s="1"/>
  <c r="A37" i="2"/>
  <c r="E36" i="2"/>
  <c r="H36" i="2" s="1"/>
  <c r="E47" i="2"/>
  <c r="H47" i="2" s="1"/>
  <c r="A48" i="2"/>
  <c r="I16" i="4"/>
  <c r="M4" i="4" l="1"/>
  <c r="D10" i="4"/>
  <c r="I21" i="2"/>
  <c r="C9" i="4"/>
  <c r="C6" i="4" s="1"/>
  <c r="D30" i="4"/>
  <c r="K32" i="4" s="1"/>
  <c r="C30" i="4"/>
  <c r="P24" i="4" s="1"/>
  <c r="P25" i="4"/>
  <c r="D35" i="4"/>
  <c r="D36" i="4" s="1"/>
  <c r="I20" i="2"/>
  <c r="I47" i="2"/>
  <c r="I32" i="2"/>
  <c r="I7" i="2"/>
  <c r="B30" i="4"/>
  <c r="B35" i="4" s="1"/>
  <c r="B36" i="4" s="1"/>
  <c r="O25" i="4"/>
  <c r="I23" i="2"/>
  <c r="I45" i="2"/>
  <c r="I34" i="2"/>
  <c r="I35" i="2"/>
  <c r="I22" i="2"/>
  <c r="I8" i="2"/>
  <c r="I9" i="2"/>
  <c r="I46" i="2"/>
  <c r="I33" i="2"/>
  <c r="I6" i="2"/>
  <c r="I19" i="2"/>
  <c r="I36" i="2"/>
  <c r="A38" i="2"/>
  <c r="C37" i="2"/>
  <c r="F37" i="2" s="1"/>
  <c r="D37" i="2"/>
  <c r="G37" i="2" s="1"/>
  <c r="E37" i="2"/>
  <c r="H37" i="2" s="1"/>
  <c r="A49" i="2"/>
  <c r="E48" i="2"/>
  <c r="H48" i="2" s="1"/>
  <c r="C48" i="2"/>
  <c r="F48" i="2" s="1"/>
  <c r="D48" i="2"/>
  <c r="G48" i="2" s="1"/>
  <c r="A25" i="2"/>
  <c r="E24" i="2"/>
  <c r="H24" i="2" s="1"/>
  <c r="D24" i="2"/>
  <c r="G24" i="2" s="1"/>
  <c r="C24" i="2"/>
  <c r="F24" i="2" s="1"/>
  <c r="D4" i="4"/>
  <c r="D5" i="4" s="1"/>
  <c r="Q24" i="4" l="1"/>
  <c r="Q26" i="4" s="1"/>
  <c r="O24" i="4"/>
  <c r="K25" i="4" s="1"/>
  <c r="I32" i="4"/>
  <c r="C10" i="4"/>
  <c r="B9" i="4"/>
  <c r="B10" i="4" s="1"/>
  <c r="B33" i="4"/>
  <c r="Q27" i="4"/>
  <c r="P26" i="4"/>
  <c r="P27" i="4"/>
  <c r="C35" i="4"/>
  <c r="C36" i="4" s="1"/>
  <c r="J32" i="4"/>
  <c r="C33" i="4"/>
  <c r="D33" i="4"/>
  <c r="O27" i="4"/>
  <c r="I25" i="4"/>
  <c r="I24" i="4"/>
  <c r="J25" i="4"/>
  <c r="K24" i="4"/>
  <c r="O26" i="4"/>
  <c r="J24" i="4"/>
  <c r="I24" i="2"/>
  <c r="I37" i="2"/>
  <c r="A26" i="2"/>
  <c r="D25" i="2"/>
  <c r="G25" i="2" s="1"/>
  <c r="C25" i="2"/>
  <c r="F25" i="2" s="1"/>
  <c r="E25" i="2"/>
  <c r="H25" i="2" s="1"/>
  <c r="A50" i="2"/>
  <c r="D49" i="2"/>
  <c r="G49" i="2" s="1"/>
  <c r="E49" i="2"/>
  <c r="H49" i="2" s="1"/>
  <c r="C49" i="2"/>
  <c r="F49" i="2" s="1"/>
  <c r="I48" i="2"/>
  <c r="E38" i="2"/>
  <c r="H38" i="2" s="1"/>
  <c r="C38" i="2"/>
  <c r="F38" i="2" s="1"/>
  <c r="D38" i="2"/>
  <c r="G38" i="2" s="1"/>
  <c r="A39" i="2"/>
  <c r="C4" i="4"/>
  <c r="C5" i="4" s="1"/>
  <c r="K27" i="4" l="1"/>
  <c r="J26" i="4"/>
  <c r="B6" i="4"/>
  <c r="F6" i="4" s="1"/>
  <c r="I26" i="4"/>
  <c r="F33" i="4"/>
  <c r="D39" i="4" s="1"/>
  <c r="I27" i="4"/>
  <c r="K26" i="4"/>
  <c r="L24" i="4"/>
  <c r="J27" i="4"/>
  <c r="I49" i="2"/>
  <c r="I38" i="2"/>
  <c r="I25" i="2"/>
  <c r="E39" i="2"/>
  <c r="H39" i="2" s="1"/>
  <c r="C39" i="2"/>
  <c r="F39" i="2" s="1"/>
  <c r="A40" i="2"/>
  <c r="D39" i="2"/>
  <c r="G39" i="2" s="1"/>
  <c r="C50" i="2"/>
  <c r="F50" i="2" s="1"/>
  <c r="D50" i="2"/>
  <c r="G50" i="2" s="1"/>
  <c r="A51" i="2"/>
  <c r="E50" i="2"/>
  <c r="H50" i="2" s="1"/>
  <c r="C26" i="2"/>
  <c r="F26" i="2" s="1"/>
  <c r="E26" i="2"/>
  <c r="H26" i="2" s="1"/>
  <c r="A27" i="2"/>
  <c r="D26" i="2"/>
  <c r="G26" i="2" s="1"/>
  <c r="B4" i="4" l="1"/>
  <c r="B5" i="4" s="1"/>
  <c r="A28" i="2"/>
  <c r="D27" i="2"/>
  <c r="G27" i="2" s="1"/>
  <c r="C27" i="2"/>
  <c r="F27" i="2" s="1"/>
  <c r="E27" i="2"/>
  <c r="H27" i="2" s="1"/>
  <c r="A52" i="2"/>
  <c r="E51" i="2"/>
  <c r="H51" i="2" s="1"/>
  <c r="C51" i="2"/>
  <c r="F51" i="2" s="1"/>
  <c r="D51" i="2"/>
  <c r="G51" i="2" s="1"/>
  <c r="A41" i="2"/>
  <c r="E40" i="2"/>
  <c r="H40" i="2" s="1"/>
  <c r="D40" i="2"/>
  <c r="G40" i="2" s="1"/>
  <c r="C40" i="2"/>
  <c r="F40" i="2" s="1"/>
  <c r="M6" i="4"/>
  <c r="L4" i="4" s="1"/>
  <c r="F4" i="4"/>
  <c r="I39" i="2"/>
  <c r="I26" i="2"/>
  <c r="I50" i="2"/>
  <c r="I40" i="2" l="1"/>
  <c r="I51" i="2"/>
  <c r="I27" i="2"/>
  <c r="E68" i="4"/>
  <c r="L9" i="4"/>
  <c r="K9" i="4" s="1"/>
  <c r="L6" i="4"/>
  <c r="A42" i="2"/>
  <c r="D41" i="2"/>
  <c r="G41" i="2" s="1"/>
  <c r="E41" i="2"/>
  <c r="H41" i="2" s="1"/>
  <c r="C41" i="2"/>
  <c r="F41" i="2" s="1"/>
  <c r="A53" i="2"/>
  <c r="E52" i="2"/>
  <c r="H52" i="2" s="1"/>
  <c r="C52" i="2"/>
  <c r="F52" i="2" s="1"/>
  <c r="D52" i="2"/>
  <c r="G52" i="2" s="1"/>
  <c r="A29" i="2"/>
  <c r="E28" i="2"/>
  <c r="H28" i="2" s="1"/>
  <c r="C28" i="2"/>
  <c r="F28" i="2" s="1"/>
  <c r="D28" i="2"/>
  <c r="G28" i="2" s="1"/>
  <c r="I28" i="2" l="1"/>
  <c r="E70" i="4"/>
  <c r="N93" i="4"/>
  <c r="D29" i="2"/>
  <c r="G29" i="2" s="1"/>
  <c r="C29" i="2"/>
  <c r="F29" i="2" s="1"/>
  <c r="E29" i="2"/>
  <c r="H29" i="2" s="1"/>
  <c r="E42" i="2"/>
  <c r="H42" i="2" s="1"/>
  <c r="D42" i="2"/>
  <c r="G42" i="2" s="1"/>
  <c r="C42" i="2"/>
  <c r="F42" i="2" s="1"/>
  <c r="A54" i="2"/>
  <c r="C53" i="2"/>
  <c r="F53" i="2" s="1"/>
  <c r="E53" i="2"/>
  <c r="H53" i="2" s="1"/>
  <c r="D53" i="2"/>
  <c r="G53" i="2" s="1"/>
  <c r="I41" i="2"/>
  <c r="I52" i="2"/>
  <c r="J9" i="4"/>
  <c r="K10" i="4"/>
  <c r="K5" i="4" s="1"/>
  <c r="K4" i="4" s="1"/>
  <c r="D70" i="4" s="1"/>
  <c r="K13" i="4" l="1"/>
  <c r="I53" i="2"/>
  <c r="D73" i="4"/>
  <c r="D68" i="4"/>
  <c r="E54" i="2"/>
  <c r="H54" i="2" s="1"/>
  <c r="D54" i="2"/>
  <c r="G54" i="2" s="1"/>
  <c r="C54" i="2"/>
  <c r="F54" i="2" s="1"/>
  <c r="A55" i="2"/>
  <c r="I9" i="4"/>
  <c r="J10" i="4"/>
  <c r="J5" i="4" s="1"/>
  <c r="J4" i="4" s="1"/>
  <c r="C70" i="4" s="1"/>
  <c r="I42" i="2"/>
  <c r="I29" i="2"/>
  <c r="I54" i="2" l="1"/>
  <c r="J13" i="4"/>
  <c r="C68" i="4"/>
  <c r="C69" i="4" s="1"/>
  <c r="C73" i="4"/>
  <c r="Q69" i="4"/>
  <c r="E55" i="2"/>
  <c r="H55" i="2" s="1"/>
  <c r="D55" i="2"/>
  <c r="G55" i="2" s="1"/>
  <c r="C55" i="2"/>
  <c r="F55" i="2" s="1"/>
  <c r="D69" i="4"/>
  <c r="I10" i="4"/>
  <c r="I13" i="4" s="1"/>
  <c r="M13" i="4" l="1"/>
  <c r="I5" i="4"/>
  <c r="I4" i="4" s="1"/>
  <c r="B70" i="4" s="1"/>
  <c r="C74" i="4"/>
  <c r="P68" i="4" s="1"/>
  <c r="P69" i="4"/>
  <c r="I55" i="2"/>
  <c r="D74" i="4"/>
  <c r="C79" i="4" l="1"/>
  <c r="C80" i="4" s="1"/>
  <c r="J76" i="4"/>
  <c r="J92" i="4" s="1"/>
  <c r="P70" i="4"/>
  <c r="P71" i="4"/>
  <c r="C77" i="4"/>
  <c r="D77" i="4"/>
  <c r="Q68" i="4"/>
  <c r="D79" i="4"/>
  <c r="D80" i="4" s="1"/>
  <c r="K76" i="4"/>
  <c r="K92" i="4" s="1"/>
  <c r="F70" i="4"/>
  <c r="F68" i="4" s="1"/>
  <c r="B73" i="4"/>
  <c r="B68" i="4"/>
  <c r="Q70" i="4" l="1"/>
  <c r="Q71" i="4"/>
  <c r="B69" i="4"/>
  <c r="B74" i="4" s="1"/>
  <c r="O69" i="4"/>
  <c r="I76" i="4" l="1"/>
  <c r="I92" i="4" s="1"/>
  <c r="L92" i="4" s="1"/>
  <c r="O68" i="4"/>
  <c r="I68" i="4" s="1"/>
  <c r="B79" i="4"/>
  <c r="B80" i="4" s="1"/>
  <c r="B77" i="4"/>
  <c r="F77" i="4" s="1"/>
  <c r="D83" i="4" s="1"/>
  <c r="I69" i="4"/>
  <c r="K68" i="4" l="1"/>
  <c r="L68" i="4" s="1"/>
  <c r="O71" i="4"/>
  <c r="J68" i="4"/>
  <c r="J69" i="4"/>
  <c r="I71" i="4"/>
  <c r="O70" i="4"/>
  <c r="K69" i="4"/>
  <c r="I91" i="4"/>
  <c r="I70" i="4"/>
  <c r="I90" i="4"/>
  <c r="K90" i="4" l="1"/>
  <c r="K70" i="4"/>
  <c r="J70" i="4"/>
  <c r="J90" i="4"/>
  <c r="J71" i="4"/>
  <c r="J91" i="4"/>
  <c r="K91" i="4"/>
  <c r="K71" i="4"/>
  <c r="L90" i="4" l="1"/>
  <c r="L91" i="4"/>
  <c r="L93" i="4" l="1"/>
  <c r="O93" i="4" s="1"/>
  <c r="P93" i="4" s="1"/>
  <c r="C46" i="4"/>
  <c r="C47" i="4" s="1"/>
  <c r="F48" i="4"/>
  <c r="D46" i="4"/>
  <c r="D47" i="4" s="1"/>
  <c r="B46" i="4"/>
  <c r="B47" i="4" s="1"/>
  <c r="C10" i="2" l="1"/>
  <c r="F10" i="2" s="1"/>
  <c r="D10" i="2"/>
  <c r="G10" i="2" s="1"/>
  <c r="A11" i="2"/>
  <c r="D11" i="2" s="1"/>
  <c r="G11" i="2" s="1"/>
  <c r="E10" i="2"/>
  <c r="H10" i="2" s="1"/>
  <c r="E11" i="2" l="1"/>
  <c r="H11" i="2" s="1"/>
  <c r="C11" i="2"/>
  <c r="F11" i="2" s="1"/>
  <c r="I11" i="2" s="1"/>
  <c r="A12" i="2"/>
  <c r="D12" i="2" s="1"/>
  <c r="G12" i="2" s="1"/>
  <c r="I10" i="2"/>
  <c r="C12" i="2" l="1"/>
  <c r="F12" i="2" s="1"/>
  <c r="E12" i="2"/>
  <c r="H12" i="2" s="1"/>
  <c r="A13" i="2"/>
  <c r="D13" i="2" s="1"/>
  <c r="G13" i="2" s="1"/>
  <c r="I12" i="2" l="1"/>
  <c r="E13" i="2"/>
  <c r="H13" i="2" s="1"/>
  <c r="A14" i="2"/>
  <c r="E14" i="2" s="1"/>
  <c r="H14" i="2" s="1"/>
  <c r="C13" i="2"/>
  <c r="F13" i="2" s="1"/>
  <c r="I13" i="2" l="1"/>
  <c r="A15" i="2"/>
  <c r="E15" i="2" s="1"/>
  <c r="H15" i="2" s="1"/>
  <c r="D14" i="2"/>
  <c r="G14" i="2" s="1"/>
  <c r="C14" i="2"/>
  <c r="F14" i="2" s="1"/>
  <c r="I14" i="2" s="1"/>
  <c r="A16" i="2" l="1"/>
  <c r="E16" i="2" s="1"/>
  <c r="H16" i="2" s="1"/>
  <c r="D15" i="2"/>
  <c r="G15" i="2" s="1"/>
  <c r="C15" i="2"/>
  <c r="F15" i="2" s="1"/>
  <c r="D16" i="2" l="1"/>
  <c r="G16" i="2" s="1"/>
  <c r="C16" i="2"/>
  <c r="F16" i="2" s="1"/>
  <c r="I16" i="2" s="1"/>
  <c r="I15" i="2"/>
  <c r="F46" i="4"/>
  <c r="E48" i="4"/>
  <c r="D51" i="4" s="1"/>
  <c r="D52" i="4" l="1"/>
  <c r="K54" i="4" s="1"/>
  <c r="Q47" i="4"/>
  <c r="B51" i="4"/>
  <c r="C51" i="4"/>
  <c r="D55" i="4" l="1"/>
  <c r="Q46" i="4"/>
  <c r="Q49" i="4" s="1"/>
  <c r="O47" i="4"/>
  <c r="B52" i="4"/>
  <c r="O46" i="4" s="1"/>
  <c r="B55" i="4"/>
  <c r="D57" i="4"/>
  <c r="D58" i="4" s="1"/>
  <c r="P47" i="4"/>
  <c r="C55" i="4"/>
  <c r="C52" i="4"/>
  <c r="J54" i="4" s="1"/>
  <c r="P46" i="4"/>
  <c r="C57" i="4"/>
  <c r="C58" i="4" s="1"/>
  <c r="I54" i="4" l="1"/>
  <c r="B57" i="4"/>
  <c r="B58" i="4" s="1"/>
  <c r="O48" i="4"/>
  <c r="I46" i="4"/>
  <c r="I47" i="4"/>
  <c r="I49" i="4" s="1"/>
  <c r="O49" i="4"/>
  <c r="J46" i="4"/>
  <c r="P48" i="4"/>
  <c r="P49" i="4"/>
  <c r="J47" i="4"/>
  <c r="K47" i="4"/>
  <c r="F55" i="4"/>
  <c r="D61" i="4" s="1"/>
  <c r="K46" i="4"/>
  <c r="Q48" i="4"/>
  <c r="J49" i="4" l="1"/>
  <c r="I48" i="4"/>
  <c r="L46" i="4"/>
  <c r="K48" i="4"/>
  <c r="K49" i="4"/>
  <c r="J48" i="4"/>
</calcChain>
</file>

<file path=xl/sharedStrings.xml><?xml version="1.0" encoding="utf-8"?>
<sst xmlns="http://schemas.openxmlformats.org/spreadsheetml/2006/main" count="153" uniqueCount="36">
  <si>
    <t>Payload</t>
  </si>
  <si>
    <t>LV(excl PL)</t>
  </si>
  <si>
    <t>Total</t>
  </si>
  <si>
    <t>Initial</t>
  </si>
  <si>
    <t>Final</t>
  </si>
  <si>
    <t>DeltaV</t>
  </si>
  <si>
    <t>Isp</t>
  </si>
  <si>
    <t xml:space="preserve"> </t>
  </si>
  <si>
    <t>Stage</t>
  </si>
  <si>
    <t>Inert</t>
  </si>
  <si>
    <t>Prop</t>
  </si>
  <si>
    <t>Tot/in</t>
  </si>
  <si>
    <t>DeltaV nom</t>
  </si>
  <si>
    <t>Variazione</t>
  </si>
  <si>
    <t>%</t>
  </si>
  <si>
    <t>LV Preliminary Design</t>
  </si>
  <si>
    <t>Lambda</t>
  </si>
  <si>
    <t>Kappa</t>
  </si>
  <si>
    <t>LV initial configuration (a)</t>
  </si>
  <si>
    <t>LV initial configuration (b)</t>
  </si>
  <si>
    <t>Sensitivity coefficients</t>
  </si>
  <si>
    <t>(DeltaV Single Stage)</t>
  </si>
  <si>
    <t>LV configuration optimization</t>
  </si>
  <si>
    <t>Design Uncertainesses</t>
  </si>
  <si>
    <t>DeltaV Uncertainesses</t>
  </si>
  <si>
    <t>Payload Uncertainesses</t>
  </si>
  <si>
    <t>alpha</t>
  </si>
  <si>
    <t>LV Optimized Design</t>
  </si>
  <si>
    <t>Kappa 1</t>
  </si>
  <si>
    <t>Kappa 3</t>
  </si>
  <si>
    <t>Kappa 2</t>
  </si>
  <si>
    <t>DeltaV 1</t>
  </si>
  <si>
    <t>Errore</t>
  </si>
  <si>
    <t>DeltaV 2</t>
  </si>
  <si>
    <t>DeltaV 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</si>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</sst>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0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16" fontId="0" fillId="0" borderId="0" xfId="0" applyNumberFormat="1"/>
    <xf numFmtId="1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65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1" fontId="0" fillId="3" borderId="0" xfId="0" applyNumberFormat="1" applyFill="1"/>
    <xf numFmtId="2" fontId="0" fillId="3" borderId="0" xfId="0" applyNumberFormat="1" applyFill="1"/>
    <xf numFmtId="1" fontId="0" fillId="0" borderId="0" xfId="0" applyNumberFormat="1" applyFill="1"/>
    <xf numFmtId="1" fontId="0" fillId="4" borderId="0" xfId="0" applyNumberFormat="1" applyFill="1"/>
    <xf numFmtId="166" fontId="0" fillId="0" borderId="0" xfId="0" applyNumberFormat="1"/>
    <xf numFmtId="166" fontId="4" fillId="0" borderId="0" xfId="0" applyNumberFormat="1" applyFont="1"/>
    <xf numFmtId="166" fontId="0" fillId="2" borderId="0" xfId="0" applyNumberFormat="1" applyFill="1"/>
    <xf numFmtId="166" fontId="0" fillId="0" borderId="0" xfId="0" applyNumberFormat="1" applyFill="1"/>
    <xf numFmtId="165" fontId="0" fillId="0" borderId="0" xfId="0" applyNumberFormat="1" applyFill="1"/>
    <xf numFmtId="2" fontId="0" fillId="0" borderId="0" xfId="0" applyNumberFormat="1" applyFill="1"/>
    <xf numFmtId="10" fontId="0" fillId="0" borderId="0" xfId="0" applyNumberFormat="1"/>
    <xf numFmtId="10" fontId="0" fillId="0" borderId="0" xfId="0" applyNumberFormat="1" applyFill="1"/>
    <xf numFmtId="0" fontId="2" fillId="0" borderId="0" xfId="0" applyFont="1" applyAlignment="1"/>
    <xf numFmtId="0" fontId="0" fillId="0" borderId="0" xfId="0" applyFill="1"/>
    <xf numFmtId="167" fontId="0" fillId="0" borderId="0" xfId="0" applyNumberFormat="1"/>
    <xf numFmtId="2" fontId="0" fillId="4" borderId="0" xfId="0" applyNumberFormat="1" applyFill="1"/>
    <xf numFmtId="164" fontId="0" fillId="4" borderId="0" xfId="0" applyNumberFormat="1" applyFill="1"/>
    <xf numFmtId="167" fontId="0" fillId="5" borderId="0" xfId="0" applyNumberFormat="1" applyFill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" fontId="0" fillId="6" borderId="0" xfId="0" applyNumberFormat="1" applyFill="1"/>
    <xf numFmtId="1" fontId="0" fillId="7" borderId="0" xfId="0" applyNumberFormat="1" applyFill="1"/>
    <xf numFmtId="2" fontId="0" fillId="7" borderId="0" xfId="0" applyNumberFormat="1" applyFill="1"/>
    <xf numFmtId="166" fontId="0" fillId="6" borderId="0" xfId="0" applyNumberFormat="1" applyFill="1"/>
    <xf numFmtId="165" fontId="0" fillId="6" borderId="0" xfId="0" applyNumberFormat="1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topLeftCell="A73" workbookViewId="0">
      <selection activeCell="S101" sqref="S101"/>
    </sheetView>
  </sheetViews>
  <sheetFormatPr defaultRowHeight="12.75" x14ac:dyDescent="0.2"/>
  <cols>
    <col min="2" max="2" width="10.140625" bestFit="1" customWidth="1"/>
    <col min="6" max="6" width="9.5703125" bestFit="1" customWidth="1"/>
    <col min="8" max="8" width="10.140625" bestFit="1" customWidth="1"/>
  </cols>
  <sheetData>
    <row r="1" spans="1:13" x14ac:dyDescent="0.2">
      <c r="A1" s="3" t="s">
        <v>15</v>
      </c>
      <c r="H1" s="3" t="s">
        <v>27</v>
      </c>
    </row>
    <row r="3" spans="1:13" x14ac:dyDescent="0.2">
      <c r="A3" t="s">
        <v>8</v>
      </c>
      <c r="B3">
        <v>1</v>
      </c>
      <c r="C3">
        <v>2</v>
      </c>
      <c r="D3">
        <v>3</v>
      </c>
      <c r="E3" t="s">
        <v>0</v>
      </c>
      <c r="F3" s="11" t="s">
        <v>14</v>
      </c>
      <c r="H3" t="s">
        <v>8</v>
      </c>
      <c r="I3">
        <v>1</v>
      </c>
      <c r="J3">
        <v>2</v>
      </c>
      <c r="K3">
        <v>3</v>
      </c>
      <c r="L3" t="s">
        <v>0</v>
      </c>
      <c r="M3" s="11" t="s">
        <v>14</v>
      </c>
    </row>
    <row r="4" spans="1:13" x14ac:dyDescent="0.2">
      <c r="A4" t="s">
        <v>9</v>
      </c>
      <c r="B4" s="4">
        <f>B6/B7</f>
        <v>10942.432418005468</v>
      </c>
      <c r="C4" s="4">
        <f>C6/C7</f>
        <v>2563.6803039771562</v>
      </c>
      <c r="D4" s="4">
        <f>D6/D7</f>
        <v>971.89889371127174</v>
      </c>
      <c r="E4" s="12">
        <v>2000</v>
      </c>
      <c r="F4" s="16">
        <f>E4/(E4+F6)</f>
        <v>1.5133986902921946E-2</v>
      </c>
      <c r="H4" t="s">
        <v>9</v>
      </c>
      <c r="I4" s="4">
        <f>I5/(I7-1)</f>
        <v>10401.869920433326</v>
      </c>
      <c r="J4" s="4">
        <f>J5/(J7-1)</f>
        <v>3094.4731006178004</v>
      </c>
      <c r="K4" s="4">
        <f>K5/(K7-1)</f>
        <v>931.38065810198793</v>
      </c>
      <c r="L4" s="32">
        <f>M6*M4/(1-M4)</f>
        <v>2015.7685490611912</v>
      </c>
      <c r="M4" s="16">
        <f>I16*J16*K16</f>
        <v>1.5251487595167264E-2</v>
      </c>
    </row>
    <row r="5" spans="1:13" x14ac:dyDescent="0.2">
      <c r="A5" t="s">
        <v>10</v>
      </c>
      <c r="B5" s="4">
        <f>B6-B4</f>
        <v>87539.459344043746</v>
      </c>
      <c r="C5" s="4">
        <f>C6-C4</f>
        <v>22304.018644601259</v>
      </c>
      <c r="D5" s="4">
        <f>D6-D4</f>
        <v>5831.3933622676304</v>
      </c>
      <c r="E5" s="4"/>
      <c r="F5" s="4" t="s">
        <v>1</v>
      </c>
      <c r="H5" t="s">
        <v>10</v>
      </c>
      <c r="I5" s="4">
        <f>I9-I10</f>
        <v>83214.959363466609</v>
      </c>
      <c r="J5" s="4">
        <f>J9-J10</f>
        <v>26921.915975374861</v>
      </c>
      <c r="K5" s="4">
        <f>K9-K10</f>
        <v>5588.2839486119274</v>
      </c>
      <c r="L5" s="4"/>
      <c r="M5" s="4" t="s">
        <v>1</v>
      </c>
    </row>
    <row r="6" spans="1:13" x14ac:dyDescent="0.2">
      <c r="A6" t="s">
        <v>2</v>
      </c>
      <c r="B6" s="14">
        <f>B9-C9</f>
        <v>98481.891762049214</v>
      </c>
      <c r="C6" s="14">
        <f>C9-D9</f>
        <v>24867.698948578414</v>
      </c>
      <c r="D6" s="14">
        <f>D9-E9</f>
        <v>6803.2922559789022</v>
      </c>
      <c r="E6" s="4">
        <f>E4+E5</f>
        <v>2000</v>
      </c>
      <c r="F6" s="4">
        <f>SUM(B6:D6)</f>
        <v>130152.88296660653</v>
      </c>
      <c r="H6" t="s">
        <v>2</v>
      </c>
      <c r="I6" s="14">
        <f>I4+I5</f>
        <v>93616.829283899933</v>
      </c>
      <c r="J6" s="14">
        <f>J4+J5</f>
        <v>30016.389075992662</v>
      </c>
      <c r="K6" s="14">
        <f>K4+K5</f>
        <v>6519.6646067139154</v>
      </c>
      <c r="L6" s="4">
        <f>L4+L5</f>
        <v>2015.7685490611912</v>
      </c>
      <c r="M6" s="15">
        <f>F6</f>
        <v>130152.88296660653</v>
      </c>
    </row>
    <row r="7" spans="1:13" x14ac:dyDescent="0.2">
      <c r="A7" s="5" t="s">
        <v>11</v>
      </c>
      <c r="B7" s="13">
        <v>9</v>
      </c>
      <c r="C7" s="13">
        <v>9.6999999999999993</v>
      </c>
      <c r="D7" s="13">
        <v>7</v>
      </c>
      <c r="E7" s="1"/>
      <c r="F7" s="1"/>
      <c r="H7" s="5" t="s">
        <v>11</v>
      </c>
      <c r="I7" s="27">
        <f>B7</f>
        <v>9</v>
      </c>
      <c r="J7" s="27">
        <f>C7</f>
        <v>9.6999999999999993</v>
      </c>
      <c r="K7" s="27">
        <f>D7</f>
        <v>7</v>
      </c>
      <c r="L7" s="1"/>
      <c r="M7" s="1"/>
    </row>
    <row r="8" spans="1:13" x14ac:dyDescent="0.2">
      <c r="B8" s="1"/>
      <c r="C8" s="1"/>
      <c r="D8" s="1"/>
      <c r="I8" s="1"/>
      <c r="J8" s="1"/>
      <c r="K8" s="1"/>
    </row>
    <row r="9" spans="1:13" x14ac:dyDescent="0.2">
      <c r="A9" t="s">
        <v>3</v>
      </c>
      <c r="B9" s="4">
        <f>C9/B16</f>
        <v>132152.88296660653</v>
      </c>
      <c r="C9" s="4">
        <f>D9/C16</f>
        <v>33670.991204557315</v>
      </c>
      <c r="D9" s="4">
        <f>E9/D16</f>
        <v>8803.2922559789022</v>
      </c>
      <c r="E9" s="4">
        <f>E4</f>
        <v>2000</v>
      </c>
      <c r="F9" s="10" t="s">
        <v>7</v>
      </c>
      <c r="H9" t="s">
        <v>3</v>
      </c>
      <c r="I9" s="4">
        <f>J9/I16</f>
        <v>132168.65151566771</v>
      </c>
      <c r="J9" s="4">
        <f>K9/J16</f>
        <v>38551.822231767772</v>
      </c>
      <c r="K9" s="4">
        <f>L9/K16</f>
        <v>8535.4331557751066</v>
      </c>
      <c r="L9" s="4">
        <f>L4</f>
        <v>2015.7685490611912</v>
      </c>
      <c r="M9" s="10" t="s">
        <v>7</v>
      </c>
    </row>
    <row r="10" spans="1:13" x14ac:dyDescent="0.2">
      <c r="A10" t="s">
        <v>4</v>
      </c>
      <c r="B10" s="4">
        <f>B9/B15</f>
        <v>44613.423622562776</v>
      </c>
      <c r="C10" s="4">
        <f>C9/C15</f>
        <v>11366.972559956059</v>
      </c>
      <c r="D10" s="4">
        <f>D9/D15</f>
        <v>2971.8988937112717</v>
      </c>
      <c r="F10" s="9" t="s">
        <v>7</v>
      </c>
      <c r="H10" t="s">
        <v>4</v>
      </c>
      <c r="I10" s="4">
        <f>I9/I15</f>
        <v>48953.692152201096</v>
      </c>
      <c r="J10" s="4">
        <f>J9/J15</f>
        <v>11629.906256392909</v>
      </c>
      <c r="K10" s="4">
        <f>K9/K15</f>
        <v>2947.1492071631792</v>
      </c>
      <c r="M10" s="9" t="s">
        <v>7</v>
      </c>
    </row>
    <row r="11" spans="1:13" x14ac:dyDescent="0.2">
      <c r="B11" s="1"/>
      <c r="C11" s="1"/>
      <c r="D11" s="1"/>
      <c r="I11" s="1"/>
      <c r="J11" s="1"/>
      <c r="K11" s="1"/>
    </row>
    <row r="12" spans="1:13" x14ac:dyDescent="0.2">
      <c r="A12" t="s">
        <v>6</v>
      </c>
      <c r="B12" s="37">
        <v>268</v>
      </c>
      <c r="C12" s="37">
        <v>285</v>
      </c>
      <c r="D12" s="37">
        <v>320</v>
      </c>
      <c r="F12" s="2">
        <f>SUM(B12:D12)</f>
        <v>873</v>
      </c>
      <c r="H12" t="s">
        <v>6</v>
      </c>
      <c r="I12" s="28">
        <f>B12</f>
        <v>268</v>
      </c>
      <c r="J12" s="28">
        <f>C12</f>
        <v>285</v>
      </c>
      <c r="K12" s="28">
        <f>D12</f>
        <v>320</v>
      </c>
      <c r="M12" s="2"/>
    </row>
    <row r="13" spans="1:13" x14ac:dyDescent="0.2">
      <c r="A13" t="s">
        <v>5</v>
      </c>
      <c r="B13" s="4">
        <f>B12/$F12*$F13</f>
        <v>2854.9828178694161</v>
      </c>
      <c r="C13" s="4">
        <f>C12/$F12*$F13</f>
        <v>3036.0824742268042</v>
      </c>
      <c r="D13" s="4">
        <f>D12/$F12*$F13</f>
        <v>3408.9347079037798</v>
      </c>
      <c r="E13" s="4"/>
      <c r="F13" s="12">
        <v>9300</v>
      </c>
      <c r="H13" t="s">
        <v>5</v>
      </c>
      <c r="I13" s="4">
        <f>9.81*I12*LN(I9/I10)</f>
        <v>2611.2127116506804</v>
      </c>
      <c r="J13" s="4">
        <f>9.81*J12*LN(J9/J10)</f>
        <v>3350.612236791786</v>
      </c>
      <c r="K13" s="4">
        <f>9.81*K12*LN(K9/K10)</f>
        <v>3338.1868964592077</v>
      </c>
      <c r="L13" s="4"/>
      <c r="M13" s="32">
        <f>SUM(I13:K13)</f>
        <v>9300.0118449016736</v>
      </c>
    </row>
    <row r="15" spans="1:13" x14ac:dyDescent="0.2">
      <c r="A15" s="10" t="s">
        <v>17</v>
      </c>
      <c r="B15" s="7">
        <f>IF(B12=0,1,EXP($F13/$F12/9.81))</f>
        <v>2.9621775742799432</v>
      </c>
      <c r="C15" s="7">
        <f>IF(C12=0,1,EXP($F13/$F12/9.81))</f>
        <v>2.9621775742799432</v>
      </c>
      <c r="D15" s="7">
        <f>IF(D12=0,1,EXP($F13/$F12/9.81))</f>
        <v>2.9621775742799432</v>
      </c>
      <c r="H15" s="10" t="s">
        <v>17</v>
      </c>
      <c r="I15" s="38">
        <v>2.6998709536503269</v>
      </c>
      <c r="J15" s="38">
        <v>3.3148867567677947</v>
      </c>
      <c r="K15" s="38">
        <v>2.896165940641672</v>
      </c>
    </row>
    <row r="16" spans="1:13" x14ac:dyDescent="0.2">
      <c r="A16" s="10" t="s">
        <v>16</v>
      </c>
      <c r="B16" s="7">
        <f>(B7/B15-1)/(B7-1)</f>
        <v>0.25478816994908521</v>
      </c>
      <c r="C16" s="7">
        <f>(C7/C15-1)/(C7-1)</f>
        <v>0.26145034467495543</v>
      </c>
      <c r="D16" s="7">
        <f>(D7/D15-1)/(D7-1)</f>
        <v>0.2271877317990513</v>
      </c>
      <c r="H16" s="10" t="s">
        <v>16</v>
      </c>
      <c r="I16" s="7">
        <f>(I7/I15-1)/(I7-1)</f>
        <v>0.29168658217866217</v>
      </c>
      <c r="J16" s="7">
        <f>(J7/J15-1)/(J7-1)</f>
        <v>0.22140154891930564</v>
      </c>
      <c r="K16" s="7">
        <f>(K7/K15-1)/(K7-1)</f>
        <v>0.23616476308496592</v>
      </c>
      <c r="L16" s="16"/>
    </row>
    <row r="21" spans="1:17" x14ac:dyDescent="0.2">
      <c r="A21" s="3" t="s">
        <v>18</v>
      </c>
      <c r="B21" s="3"/>
      <c r="C21" s="3"/>
      <c r="H21" s="3" t="s">
        <v>20</v>
      </c>
      <c r="N21" s="24" t="s">
        <v>21</v>
      </c>
      <c r="O21" s="24"/>
    </row>
    <row r="23" spans="1:17" x14ac:dyDescent="0.2">
      <c r="A23" t="s">
        <v>8</v>
      </c>
      <c r="B23">
        <v>1</v>
      </c>
      <c r="C23">
        <v>2</v>
      </c>
      <c r="D23">
        <v>3</v>
      </c>
      <c r="E23" t="s">
        <v>0</v>
      </c>
      <c r="F23" s="11" t="s">
        <v>14</v>
      </c>
      <c r="H23" t="s">
        <v>8</v>
      </c>
      <c r="I23">
        <v>1</v>
      </c>
      <c r="J23">
        <v>2</v>
      </c>
      <c r="K23">
        <v>3</v>
      </c>
      <c r="L23" t="s">
        <v>0</v>
      </c>
      <c r="N23" t="s">
        <v>8</v>
      </c>
      <c r="O23">
        <v>1</v>
      </c>
      <c r="P23">
        <v>2</v>
      </c>
      <c r="Q23">
        <v>3</v>
      </c>
    </row>
    <row r="24" spans="1:17" x14ac:dyDescent="0.2">
      <c r="A24" t="s">
        <v>9</v>
      </c>
      <c r="B24" s="12">
        <v>10401.869920433326</v>
      </c>
      <c r="C24" s="12">
        <v>3094.4731006178004</v>
      </c>
      <c r="D24" s="12">
        <v>931.38065810198793</v>
      </c>
      <c r="E24" s="15">
        <f>E4</f>
        <v>2000</v>
      </c>
      <c r="F24" s="16">
        <f>E24/(E24+F26)</f>
        <v>1.5133986902921949E-2</v>
      </c>
      <c r="H24" t="s">
        <v>9</v>
      </c>
      <c r="I24" s="35">
        <f>O24</f>
        <v>-3.3828522223130868E-2</v>
      </c>
      <c r="J24" s="35">
        <f>P24+O24</f>
        <v>-0.2020051432429186</v>
      </c>
      <c r="K24" s="35">
        <f>Q24+P24+O24</f>
        <v>-0.90443463067104801</v>
      </c>
      <c r="L24" s="35">
        <f>K24</f>
        <v>-0.90443463067104801</v>
      </c>
      <c r="N24" t="s">
        <v>9</v>
      </c>
      <c r="O24" s="35">
        <f>9.81*B32*(1/B29-1/B30)</f>
        <v>-3.3828522223130868E-2</v>
      </c>
      <c r="P24" s="35">
        <f>9.81*C32*(1/C29-1/C30)</f>
        <v>-0.16817662101978773</v>
      </c>
      <c r="Q24" s="35">
        <f>9.81*D32*(1/D29-1/D30)</f>
        <v>-0.7024294874281295</v>
      </c>
    </row>
    <row r="25" spans="1:17" x14ac:dyDescent="0.2">
      <c r="A25" t="s">
        <v>10</v>
      </c>
      <c r="B25" s="12">
        <v>83214.959363466609</v>
      </c>
      <c r="C25" s="12">
        <v>26921.915975374861</v>
      </c>
      <c r="D25" s="12">
        <v>5588.2839486119274</v>
      </c>
      <c r="E25" s="4"/>
      <c r="F25" s="4" t="s">
        <v>1</v>
      </c>
      <c r="H25" t="s">
        <v>10</v>
      </c>
      <c r="I25" s="35">
        <f>O25</f>
        <v>1.9894231143367018E-2</v>
      </c>
      <c r="J25" s="35">
        <f>P25+O24</f>
        <v>3.8723016733611469E-2</v>
      </c>
      <c r="K25" s="35">
        <f>Q25+P24+O24</f>
        <v>0.16646006576614922</v>
      </c>
      <c r="L25" s="16"/>
      <c r="N25" t="s">
        <v>10</v>
      </c>
      <c r="O25" s="35">
        <f>9.81*B32/B29</f>
        <v>1.9894231143367018E-2</v>
      </c>
      <c r="P25" s="35">
        <f>9.81*C32/C29</f>
        <v>7.2551538956742337E-2</v>
      </c>
      <c r="Q25" s="35">
        <f>9.81*D32/D29</f>
        <v>0.36846520900906782</v>
      </c>
    </row>
    <row r="26" spans="1:17" x14ac:dyDescent="0.2">
      <c r="A26" t="s">
        <v>2</v>
      </c>
      <c r="B26" s="4">
        <f>B24+B25</f>
        <v>93616.829283899933</v>
      </c>
      <c r="C26" s="4">
        <f>C24+C25</f>
        <v>30016.389075992662</v>
      </c>
      <c r="D26" s="4">
        <f>D24+D25</f>
        <v>6519.6646067139154</v>
      </c>
      <c r="E26" s="4">
        <f>E24+E25</f>
        <v>2000</v>
      </c>
      <c r="F26" s="4">
        <f>SUM(B26:D26)</f>
        <v>130152.8829666065</v>
      </c>
      <c r="H26" t="s">
        <v>2</v>
      </c>
      <c r="I26" s="35">
        <f>(I24+I25*(B27-1))/B27</f>
        <v>1.3925036324867253E-2</v>
      </c>
      <c r="J26" s="35">
        <f>(J24+J25*(C27-1))/C27</f>
        <v>1.3905680653556822E-2</v>
      </c>
      <c r="K26" s="35">
        <f>(K24+K25*(D27-1))/D27</f>
        <v>1.3475109132263892E-2</v>
      </c>
      <c r="L26" s="17" t="s">
        <v>7</v>
      </c>
      <c r="M26" s="10"/>
      <c r="N26" t="s">
        <v>2</v>
      </c>
      <c r="O26" s="35">
        <f>(O24+O25*(B27-1))/B27</f>
        <v>1.3925036324867253E-2</v>
      </c>
      <c r="P26" s="35">
        <f>(P24+P25*(C27-1))/C27</f>
        <v>4.7734202876687698E-2</v>
      </c>
      <c r="Q26" s="35">
        <f>(Q24+Q25*(D27-1))/D27</f>
        <v>0.21548025237518248</v>
      </c>
    </row>
    <row r="27" spans="1:17" x14ac:dyDescent="0.2">
      <c r="A27" s="5" t="s">
        <v>11</v>
      </c>
      <c r="B27" s="1">
        <f>B26/B24</f>
        <v>9</v>
      </c>
      <c r="C27" s="1">
        <f>C26/C24</f>
        <v>9.6999999999999993</v>
      </c>
      <c r="D27" s="1">
        <f>D26/D24</f>
        <v>7</v>
      </c>
      <c r="E27" s="1"/>
      <c r="F27" s="1"/>
      <c r="H27" s="5" t="s">
        <v>11</v>
      </c>
      <c r="I27" s="36">
        <f>(I25-I24)/B27*B24/100</f>
        <v>0.6209078803175917</v>
      </c>
      <c r="J27" s="36">
        <f>(J25-J24)/C27*C24/100</f>
        <v>0.76796578928720716</v>
      </c>
      <c r="K27" s="36">
        <f>(K25-K24)/D27*D24/100</f>
        <v>1.4248722958937219</v>
      </c>
      <c r="L27" s="16"/>
      <c r="M27" s="10"/>
      <c r="N27" s="5" t="s">
        <v>11</v>
      </c>
      <c r="O27" s="36">
        <f>(O25-O24)/B27*B24/100</f>
        <v>0.6209078803175917</v>
      </c>
      <c r="P27" s="36">
        <f>(P25-P24)/C27*C24/100</f>
        <v>0.76796578928720716</v>
      </c>
      <c r="Q27" s="36">
        <f>(Q25-Q24)/D27*D24/100</f>
        <v>1.4248722958937219</v>
      </c>
    </row>
    <row r="28" spans="1:17" x14ac:dyDescent="0.2">
      <c r="B28" s="1"/>
      <c r="C28" s="1"/>
      <c r="D28" s="1"/>
      <c r="I28" s="1"/>
      <c r="J28" s="1"/>
      <c r="K28" s="1"/>
    </row>
    <row r="29" spans="1:17" x14ac:dyDescent="0.2">
      <c r="A29" t="s">
        <v>3</v>
      </c>
      <c r="B29" s="4">
        <f>SUM(B26:$E26)</f>
        <v>132152.8829666065</v>
      </c>
      <c r="C29" s="4">
        <f>SUM(C26:$E26)</f>
        <v>38536.053682706581</v>
      </c>
      <c r="D29" s="4">
        <f>SUM(D26:$E26)</f>
        <v>8519.6646067139154</v>
      </c>
    </row>
    <row r="30" spans="1:17" x14ac:dyDescent="0.2">
      <c r="A30" t="s">
        <v>4</v>
      </c>
      <c r="B30" s="4">
        <f>B29-B25</f>
        <v>48937.92360313989</v>
      </c>
      <c r="C30" s="4">
        <f>C29-C25</f>
        <v>11614.13770733172</v>
      </c>
      <c r="D30" s="4">
        <f>D29-D25</f>
        <v>2931.380658101988</v>
      </c>
    </row>
    <row r="31" spans="1:17" x14ac:dyDescent="0.2">
      <c r="B31" s="1"/>
      <c r="C31" s="1"/>
      <c r="D31" s="1"/>
      <c r="I31" s="1"/>
      <c r="J31" s="1"/>
      <c r="K31" s="1"/>
    </row>
    <row r="32" spans="1:17" x14ac:dyDescent="0.2">
      <c r="A32" t="s">
        <v>6</v>
      </c>
      <c r="B32" s="28">
        <f>B12</f>
        <v>268</v>
      </c>
      <c r="C32" s="28">
        <f>C12</f>
        <v>285</v>
      </c>
      <c r="D32" s="28">
        <f>D12</f>
        <v>320</v>
      </c>
      <c r="H32" t="s">
        <v>6</v>
      </c>
      <c r="I32" s="36">
        <f>9.81*LN(B29/B30)</f>
        <v>9.7453209724900791</v>
      </c>
      <c r="J32" s="36">
        <f>9.81*LN(C29/C30)</f>
        <v>11.765830868579947</v>
      </c>
      <c r="K32" s="36">
        <f>9.81*LN(D29/D30)</f>
        <v>10.466322827289266</v>
      </c>
      <c r="O32" s="20"/>
      <c r="P32" s="20"/>
      <c r="Q32" s="20"/>
    </row>
    <row r="33" spans="1:17" x14ac:dyDescent="0.2">
      <c r="A33" t="s">
        <v>5</v>
      </c>
      <c r="B33" s="4">
        <f>9.81*B32*LN(B29/B30)</f>
        <v>2611.7460206273408</v>
      </c>
      <c r="C33" s="4">
        <f>9.81*C32*LN(C29/C30)</f>
        <v>3353.2617975452849</v>
      </c>
      <c r="D33" s="4">
        <f>9.81*D32*LN(D29/D30)</f>
        <v>3349.2233047325653</v>
      </c>
      <c r="E33" s="4"/>
      <c r="F33" s="32">
        <f>SUM(B33:D33)</f>
        <v>9314.231122905192</v>
      </c>
    </row>
    <row r="35" spans="1:17" x14ac:dyDescent="0.2">
      <c r="A35" s="10" t="s">
        <v>17</v>
      </c>
      <c r="B35" s="9">
        <f>B29/B30</f>
        <v>2.7004186781256792</v>
      </c>
      <c r="C35" s="9">
        <f>C29/C30</f>
        <v>3.3180296853531983</v>
      </c>
      <c r="D35" s="9">
        <f>D29/D30</f>
        <v>2.9063658393073495</v>
      </c>
    </row>
    <row r="36" spans="1:17" x14ac:dyDescent="0.2">
      <c r="A36" s="10" t="s">
        <v>16</v>
      </c>
      <c r="B36" s="7">
        <f>(B27/B35-1)/(B27-1)</f>
        <v>0.29160206586218917</v>
      </c>
      <c r="C36" s="7">
        <f>(C27/C35-1)/(C27-1)</f>
        <v>0.22108295459784455</v>
      </c>
      <c r="D36" s="7">
        <f>(D27/D35-1)/(D27-1)</f>
        <v>0.23475102510771398</v>
      </c>
    </row>
    <row r="38" spans="1:17" x14ac:dyDescent="0.2">
      <c r="B38" t="s">
        <v>12</v>
      </c>
      <c r="D38" t="s">
        <v>13</v>
      </c>
    </row>
    <row r="39" spans="1:17" x14ac:dyDescent="0.2">
      <c r="B39" s="6">
        <v>9300</v>
      </c>
      <c r="D39" s="8">
        <f>(F33-B39)</f>
        <v>14.231122905192024</v>
      </c>
    </row>
    <row r="43" spans="1:17" x14ac:dyDescent="0.2">
      <c r="A43" s="3" t="s">
        <v>19</v>
      </c>
      <c r="B43" s="3"/>
      <c r="C43" s="3"/>
      <c r="H43" s="3" t="s">
        <v>20</v>
      </c>
      <c r="N43" s="24" t="s">
        <v>21</v>
      </c>
      <c r="O43" s="24"/>
    </row>
    <row r="45" spans="1:17" x14ac:dyDescent="0.2">
      <c r="A45" t="s">
        <v>8</v>
      </c>
      <c r="B45">
        <v>1</v>
      </c>
      <c r="C45">
        <v>2</v>
      </c>
      <c r="D45">
        <v>3</v>
      </c>
      <c r="E45" t="s">
        <v>0</v>
      </c>
      <c r="F45" s="11" t="s">
        <v>14</v>
      </c>
      <c r="H45" t="s">
        <v>8</v>
      </c>
      <c r="I45">
        <v>1</v>
      </c>
      <c r="J45">
        <v>2</v>
      </c>
      <c r="K45">
        <v>3</v>
      </c>
      <c r="L45" t="s">
        <v>0</v>
      </c>
      <c r="N45" t="s">
        <v>8</v>
      </c>
      <c r="O45">
        <v>1</v>
      </c>
      <c r="P45">
        <v>2</v>
      </c>
      <c r="Q45">
        <v>3</v>
      </c>
    </row>
    <row r="46" spans="1:17" x14ac:dyDescent="0.2">
      <c r="A46" t="s">
        <v>9</v>
      </c>
      <c r="B46" s="4">
        <f>B48/B49</f>
        <v>10401.869920433326</v>
      </c>
      <c r="C46" s="4">
        <f>C48/C49</f>
        <v>3094.4731006178004</v>
      </c>
      <c r="D46" s="4">
        <f>D48/D49</f>
        <v>931.38065810198793</v>
      </c>
      <c r="E46" s="12">
        <v>2015.7685490611912</v>
      </c>
      <c r="F46" s="16">
        <f>E46/(E46+F48)</f>
        <v>1.5251487595167269E-2</v>
      </c>
      <c r="H46" t="s">
        <v>9</v>
      </c>
      <c r="I46" s="35">
        <f>O46</f>
        <v>-3.381359101097603E-2</v>
      </c>
      <c r="J46" s="35">
        <f>P46+O46</f>
        <v>-0.201693493029617</v>
      </c>
      <c r="K46" s="35">
        <f>Q46+P46+O46</f>
        <v>-0.89907393198658914</v>
      </c>
      <c r="L46" s="35">
        <f>K46</f>
        <v>-0.89907393198658914</v>
      </c>
      <c r="N46" t="s">
        <v>9</v>
      </c>
      <c r="O46" s="35">
        <f>9.81*B54*(1/B51-1/B52)</f>
        <v>-3.381359101097603E-2</v>
      </c>
      <c r="P46" s="35">
        <f>9.81*C54*(1/C51-1/C52)</f>
        <v>-0.16787990201864098</v>
      </c>
      <c r="Q46" s="35">
        <f>9.81*D54*(1/D51-1/D52)</f>
        <v>-0.6973804389569721</v>
      </c>
    </row>
    <row r="47" spans="1:17" x14ac:dyDescent="0.2">
      <c r="A47" t="s">
        <v>10</v>
      </c>
      <c r="B47" s="4">
        <f>B48-B46</f>
        <v>83214.959363466609</v>
      </c>
      <c r="C47" s="4">
        <f>C48-C46</f>
        <v>26921.915975374861</v>
      </c>
      <c r="D47" s="4">
        <f>D48-D46</f>
        <v>5588.2839486119274</v>
      </c>
      <c r="E47" s="4"/>
      <c r="F47" s="4" t="s">
        <v>1</v>
      </c>
      <c r="H47" t="s">
        <v>10</v>
      </c>
      <c r="I47" s="35">
        <f>O47</f>
        <v>1.9891857636818975E-2</v>
      </c>
      <c r="J47" s="35">
        <f>P47+O46</f>
        <v>3.8708272759607101E-2</v>
      </c>
      <c r="K47" s="35">
        <f>Q47+P46+O46</f>
        <v>0.16609100515674693</v>
      </c>
      <c r="L47" s="16"/>
      <c r="N47" t="s">
        <v>10</v>
      </c>
      <c r="O47" s="35">
        <f>9.81*B54/B51</f>
        <v>1.9891857636818975E-2</v>
      </c>
      <c r="P47" s="35">
        <f>9.81*C54/C51</f>
        <v>7.2521863770583131E-2</v>
      </c>
      <c r="Q47" s="35">
        <f>9.81*D54/D51</f>
        <v>0.36778449818636394</v>
      </c>
    </row>
    <row r="48" spans="1:17" x14ac:dyDescent="0.2">
      <c r="A48" t="s">
        <v>2</v>
      </c>
      <c r="B48" s="12">
        <v>93616.829283899933</v>
      </c>
      <c r="C48" s="12">
        <v>30016.389075992662</v>
      </c>
      <c r="D48" s="12">
        <v>6519.6646067139154</v>
      </c>
      <c r="E48" s="4">
        <f>E46+E47</f>
        <v>2015.7685490611912</v>
      </c>
      <c r="F48" s="4">
        <f>SUM(B48:D48)</f>
        <v>130152.8829666065</v>
      </c>
      <c r="H48" t="s">
        <v>2</v>
      </c>
      <c r="I48" s="35">
        <f>(I46+I47*(B49-1))/B49</f>
        <v>1.3924585564841753E-2</v>
      </c>
      <c r="J48" s="35">
        <f>(J46+J47*(C49-1))/C49</f>
        <v>1.3924585564841727E-2</v>
      </c>
      <c r="K48" s="35">
        <f>(K46+K47*(D49-1))/D49</f>
        <v>1.3924585564841789E-2</v>
      </c>
      <c r="L48" s="17" t="s">
        <v>7</v>
      </c>
      <c r="M48" s="10"/>
      <c r="N48" t="s">
        <v>2</v>
      </c>
      <c r="O48" s="35">
        <f>(O46+O47*(B49-1))/B49</f>
        <v>1.3924585564841753E-2</v>
      </c>
      <c r="P48" s="35">
        <f>(P46+P47*(C49-1))/C49</f>
        <v>4.7738176575817748E-2</v>
      </c>
      <c r="Q48" s="35">
        <f>(Q46+Q47*(D49-1))/D49</f>
        <v>0.21561807859445878</v>
      </c>
    </row>
    <row r="49" spans="1:17" x14ac:dyDescent="0.2">
      <c r="A49" s="5" t="s">
        <v>11</v>
      </c>
      <c r="B49" s="13">
        <v>9</v>
      </c>
      <c r="C49" s="13">
        <v>9.6999999999999993</v>
      </c>
      <c r="D49" s="13">
        <v>7</v>
      </c>
      <c r="E49" s="1"/>
      <c r="F49" s="1"/>
      <c r="H49" s="5" t="s">
        <v>11</v>
      </c>
      <c r="I49" s="36">
        <f>(I47-I46)/B49*B46/100</f>
        <v>0.62070787872541711</v>
      </c>
      <c r="J49" s="36">
        <f>(J47-J46)/C49*C46/100</f>
        <v>0.76692453358327284</v>
      </c>
      <c r="K49" s="36">
        <f>(K47-K46)/D49*D46/100</f>
        <v>1.4172486002053184</v>
      </c>
      <c r="L49" s="16"/>
      <c r="M49" s="10"/>
      <c r="N49" s="5" t="s">
        <v>11</v>
      </c>
      <c r="O49" s="36">
        <f>(O47-O46)/B49*B46/100</f>
        <v>0.62070787872541711</v>
      </c>
      <c r="P49" s="36">
        <f>(P47-P46)/C49*C46/100</f>
        <v>0.76692453358327284</v>
      </c>
      <c r="Q49" s="36">
        <f>(Q47-Q46)/D49*D46/100</f>
        <v>1.4172486002053184</v>
      </c>
    </row>
    <row r="50" spans="1:17" x14ac:dyDescent="0.2">
      <c r="B50" s="1"/>
      <c r="C50" s="1"/>
      <c r="D50" s="1"/>
      <c r="I50" s="1"/>
      <c r="J50" s="1"/>
      <c r="K50" s="1"/>
    </row>
    <row r="51" spans="1:17" x14ac:dyDescent="0.2">
      <c r="A51" t="s">
        <v>3</v>
      </c>
      <c r="B51" s="4">
        <f>SUM(B48:$E48)</f>
        <v>132168.65151566768</v>
      </c>
      <c r="C51" s="4">
        <f>SUM(C48:$E48)</f>
        <v>38551.822231767772</v>
      </c>
      <c r="D51" s="4">
        <f>SUM(D48:$E48)</f>
        <v>8535.4331557751066</v>
      </c>
    </row>
    <row r="52" spans="1:17" x14ac:dyDescent="0.2">
      <c r="A52" t="s">
        <v>4</v>
      </c>
      <c r="B52" s="4">
        <f>B51-B47</f>
        <v>48953.692152201067</v>
      </c>
      <c r="C52" s="4">
        <f>C51-C47</f>
        <v>11629.906256392911</v>
      </c>
      <c r="D52" s="4">
        <f>D51-D47</f>
        <v>2947.1492071631792</v>
      </c>
    </row>
    <row r="53" spans="1:17" x14ac:dyDescent="0.2">
      <c r="B53" s="1"/>
      <c r="C53" s="1"/>
      <c r="D53" s="1"/>
      <c r="I53" s="1"/>
      <c r="J53" s="1"/>
      <c r="K53" s="1"/>
    </row>
    <row r="54" spans="1:17" x14ac:dyDescent="0.2">
      <c r="A54" t="s">
        <v>6</v>
      </c>
      <c r="B54" s="37">
        <v>268</v>
      </c>
      <c r="C54" s="37">
        <v>285</v>
      </c>
      <c r="D54" s="37">
        <v>320</v>
      </c>
      <c r="H54" t="s">
        <v>6</v>
      </c>
      <c r="I54" s="36">
        <f>9.81*LN(B51/B52)</f>
        <v>9.7433310136219458</v>
      </c>
      <c r="J54" s="36">
        <f>9.81*LN(C51/C52)</f>
        <v>11.756534164181703</v>
      </c>
      <c r="K54" s="36">
        <f>9.81*LN(D51/D52)</f>
        <v>10.431834051435024</v>
      </c>
      <c r="O54" s="20"/>
      <c r="P54" s="20"/>
      <c r="Q54" s="20"/>
    </row>
    <row r="55" spans="1:17" x14ac:dyDescent="0.2">
      <c r="A55" t="s">
        <v>5</v>
      </c>
      <c r="B55" s="4">
        <f>9.81*B54*LN(B51/B52)</f>
        <v>2611.2127116506813</v>
      </c>
      <c r="C55" s="4">
        <f>9.81*C54*LN(C51/C52)</f>
        <v>3350.6122367917856</v>
      </c>
      <c r="D55" s="4">
        <f>9.81*D54*LN(D51/D52)</f>
        <v>3338.1868964592077</v>
      </c>
      <c r="E55" s="4"/>
      <c r="F55" s="32">
        <f>SUM(B55:D55)</f>
        <v>9300.0118449016736</v>
      </c>
      <c r="L55" s="4"/>
    </row>
    <row r="57" spans="1:17" x14ac:dyDescent="0.2">
      <c r="A57" s="10" t="s">
        <v>17</v>
      </c>
      <c r="B57" s="9">
        <f>B51/B52</f>
        <v>2.6998709536503283</v>
      </c>
      <c r="C57" s="9">
        <f>C51/C52</f>
        <v>3.3148867567677938</v>
      </c>
      <c r="D57" s="9">
        <f>D51/D52</f>
        <v>2.896165940641672</v>
      </c>
    </row>
    <row r="58" spans="1:17" x14ac:dyDescent="0.2">
      <c r="A58" s="10" t="s">
        <v>16</v>
      </c>
      <c r="B58" s="7">
        <f>(B49/B57-1)/(B49-1)</f>
        <v>0.291686582178662</v>
      </c>
      <c r="C58" s="7">
        <f>(C49/C57-1)/(C49-1)</f>
        <v>0.22140154891930575</v>
      </c>
      <c r="D58" s="7">
        <f>(D49/D57-1)/(D49-1)</f>
        <v>0.23616476308496592</v>
      </c>
    </row>
    <row r="60" spans="1:17" x14ac:dyDescent="0.2">
      <c r="B60" t="s">
        <v>12</v>
      </c>
      <c r="D60" t="s">
        <v>13</v>
      </c>
    </row>
    <row r="61" spans="1:17" x14ac:dyDescent="0.2">
      <c r="B61" s="6">
        <v>9300</v>
      </c>
      <c r="D61" s="18">
        <f>(F55-B61)</f>
        <v>1.1844901673612185E-2</v>
      </c>
    </row>
    <row r="65" spans="1:17" x14ac:dyDescent="0.2">
      <c r="A65" s="3" t="s">
        <v>22</v>
      </c>
      <c r="B65" s="3"/>
      <c r="C65" s="3"/>
      <c r="H65" s="3" t="s">
        <v>20</v>
      </c>
      <c r="N65" s="24" t="s">
        <v>21</v>
      </c>
      <c r="O65" s="24"/>
    </row>
    <row r="67" spans="1:17" x14ac:dyDescent="0.2">
      <c r="A67" t="s">
        <v>8</v>
      </c>
      <c r="B67">
        <v>1</v>
      </c>
      <c r="C67">
        <v>2</v>
      </c>
      <c r="D67">
        <v>3</v>
      </c>
      <c r="E67" t="s">
        <v>0</v>
      </c>
      <c r="F67" s="11" t="s">
        <v>14</v>
      </c>
      <c r="H67" t="s">
        <v>8</v>
      </c>
      <c r="I67">
        <v>1</v>
      </c>
      <c r="J67">
        <v>2</v>
      </c>
      <c r="K67">
        <v>3</v>
      </c>
      <c r="L67" t="s">
        <v>0</v>
      </c>
      <c r="N67" t="s">
        <v>8</v>
      </c>
      <c r="O67">
        <v>1</v>
      </c>
      <c r="P67">
        <v>2</v>
      </c>
      <c r="Q67">
        <v>3</v>
      </c>
    </row>
    <row r="68" spans="1:17" x14ac:dyDescent="0.2">
      <c r="A68" t="s">
        <v>9</v>
      </c>
      <c r="B68" s="4">
        <f>B70/B71</f>
        <v>10401.869920433326</v>
      </c>
      <c r="C68" s="4">
        <f>C70/C71</f>
        <v>3094.4731006178004</v>
      </c>
      <c r="D68" s="4">
        <f>D70/D71</f>
        <v>931.38065810198793</v>
      </c>
      <c r="E68" s="33">
        <f>L4</f>
        <v>2015.7685490611912</v>
      </c>
      <c r="F68" s="16">
        <f>E68/(E68+F70)</f>
        <v>1.5251487595167269E-2</v>
      </c>
      <c r="H68" t="s">
        <v>9</v>
      </c>
      <c r="I68" s="35">
        <f>O68</f>
        <v>-3.381359101097603E-2</v>
      </c>
      <c r="J68" s="35">
        <f>P68+O68</f>
        <v>-0.201693493029617</v>
      </c>
      <c r="K68" s="35">
        <f>Q68+P68+O68</f>
        <v>-0.89907393198658914</v>
      </c>
      <c r="L68" s="35">
        <f>K68</f>
        <v>-0.89907393198658914</v>
      </c>
      <c r="N68" t="s">
        <v>9</v>
      </c>
      <c r="O68" s="35">
        <f>9.81*B76*(1/B73-1/B74)</f>
        <v>-3.381359101097603E-2</v>
      </c>
      <c r="P68" s="35">
        <f>9.81*C76*(1/C73-1/C74)</f>
        <v>-0.16787990201864098</v>
      </c>
      <c r="Q68" s="35">
        <f>9.81*D76*(1/D73-1/D74)</f>
        <v>-0.6973804389569721</v>
      </c>
    </row>
    <row r="69" spans="1:17" x14ac:dyDescent="0.2">
      <c r="A69" t="s">
        <v>10</v>
      </c>
      <c r="B69" s="4">
        <f>B70-B68</f>
        <v>83214.959363466609</v>
      </c>
      <c r="C69" s="4">
        <f>C70-C68</f>
        <v>26921.915975374861</v>
      </c>
      <c r="D69" s="4">
        <f>D70-D68</f>
        <v>5588.2839486119274</v>
      </c>
      <c r="E69" s="4"/>
      <c r="F69" s="4" t="s">
        <v>1</v>
      </c>
      <c r="H69" t="s">
        <v>10</v>
      </c>
      <c r="I69" s="35">
        <f>O69</f>
        <v>1.9891857636818975E-2</v>
      </c>
      <c r="J69" s="35">
        <f>P69+O68</f>
        <v>3.8708272759607101E-2</v>
      </c>
      <c r="K69" s="35">
        <f>Q69+P68+O68</f>
        <v>0.16609100515674693</v>
      </c>
      <c r="L69" s="16"/>
      <c r="N69" t="s">
        <v>10</v>
      </c>
      <c r="O69" s="35">
        <f>9.81*B76/B73</f>
        <v>1.9891857636818975E-2</v>
      </c>
      <c r="P69" s="35">
        <f>9.81*C76/C73</f>
        <v>7.2521863770583131E-2</v>
      </c>
      <c r="Q69" s="35">
        <f>9.81*D76/D73</f>
        <v>0.36778449818636394</v>
      </c>
    </row>
    <row r="70" spans="1:17" x14ac:dyDescent="0.2">
      <c r="A70" t="s">
        <v>2</v>
      </c>
      <c r="B70" s="33">
        <f t="shared" ref="B70:D71" si="0">I6</f>
        <v>93616.829283899933</v>
      </c>
      <c r="C70" s="33">
        <f t="shared" si="0"/>
        <v>30016.389075992662</v>
      </c>
      <c r="D70" s="33">
        <f t="shared" si="0"/>
        <v>6519.6646067139154</v>
      </c>
      <c r="E70" s="4">
        <f>E68+E69</f>
        <v>2015.7685490611912</v>
      </c>
      <c r="F70" s="4">
        <f>SUM(B70:D70)</f>
        <v>130152.8829666065</v>
      </c>
      <c r="H70" t="s">
        <v>2</v>
      </c>
      <c r="I70" s="35">
        <f>(I68+I69*(B71-1))/B71</f>
        <v>1.3924585564841753E-2</v>
      </c>
      <c r="J70" s="35">
        <f>(J68+J69*(C71-1))/C71</f>
        <v>1.3924585564841727E-2</v>
      </c>
      <c r="K70" s="35">
        <f>(K68+K69*(D71-1))/D71</f>
        <v>1.3924585564841789E-2</v>
      </c>
      <c r="L70" s="17" t="s">
        <v>7</v>
      </c>
      <c r="M70" s="10"/>
      <c r="N70" t="s">
        <v>2</v>
      </c>
      <c r="O70" s="35">
        <f>(O68+O69*(B71-1))/B71</f>
        <v>1.3924585564841753E-2</v>
      </c>
      <c r="P70" s="35">
        <f>(P68+P69*(C71-1))/C71</f>
        <v>4.7738176575817748E-2</v>
      </c>
      <c r="Q70" s="35">
        <f>(Q68+Q69*(D71-1))/D71</f>
        <v>0.21561807859445878</v>
      </c>
    </row>
    <row r="71" spans="1:17" x14ac:dyDescent="0.2">
      <c r="A71" s="5" t="s">
        <v>11</v>
      </c>
      <c r="B71" s="34">
        <f t="shared" si="0"/>
        <v>9</v>
      </c>
      <c r="C71" s="34">
        <f t="shared" si="0"/>
        <v>9.6999999999999993</v>
      </c>
      <c r="D71" s="34">
        <f t="shared" si="0"/>
        <v>7</v>
      </c>
      <c r="E71" s="1"/>
      <c r="F71" s="1"/>
      <c r="H71" s="5" t="s">
        <v>11</v>
      </c>
      <c r="I71" s="36">
        <f>(I69-I68)/B71*B68/100</f>
        <v>0.62070787872541711</v>
      </c>
      <c r="J71" s="36">
        <f>(J69-J68)/C71*C68/100</f>
        <v>0.76692453358327284</v>
      </c>
      <c r="K71" s="36">
        <f>(K69-K68)/D71*D68/100</f>
        <v>1.4172486002053184</v>
      </c>
      <c r="L71" s="16"/>
      <c r="M71" s="10"/>
      <c r="N71" s="5" t="s">
        <v>11</v>
      </c>
      <c r="O71" s="36">
        <f>(O69-O68)/B71*B68/100</f>
        <v>0.62070787872541711</v>
      </c>
      <c r="P71" s="36">
        <f>(P69-P68)/C71*C68/100</f>
        <v>0.76692453358327284</v>
      </c>
      <c r="Q71" s="36">
        <f>(Q69-Q68)/D71*D68/100</f>
        <v>1.4172486002053184</v>
      </c>
    </row>
    <row r="72" spans="1:17" x14ac:dyDescent="0.2">
      <c r="B72" s="1"/>
      <c r="C72" s="1"/>
      <c r="D72" s="1"/>
      <c r="I72" s="1"/>
      <c r="J72" s="1"/>
      <c r="K72" s="1"/>
    </row>
    <row r="73" spans="1:17" x14ac:dyDescent="0.2">
      <c r="A73" t="s">
        <v>3</v>
      </c>
      <c r="B73" s="4">
        <f>SUM(B70:$E70)</f>
        <v>132168.65151566768</v>
      </c>
      <c r="C73" s="4">
        <f>SUM(C70:$E70)</f>
        <v>38551.822231767772</v>
      </c>
      <c r="D73" s="4">
        <f>SUM(D70:$E70)</f>
        <v>8535.4331557751066</v>
      </c>
    </row>
    <row r="74" spans="1:17" x14ac:dyDescent="0.2">
      <c r="A74" t="s">
        <v>4</v>
      </c>
      <c r="B74" s="4">
        <f>B73-B69</f>
        <v>48953.692152201067</v>
      </c>
      <c r="C74" s="4">
        <f>C73-C69</f>
        <v>11629.906256392911</v>
      </c>
      <c r="D74" s="4">
        <f>D73-D69</f>
        <v>2947.1492071631792</v>
      </c>
    </row>
    <row r="75" spans="1:17" x14ac:dyDescent="0.2">
      <c r="B75" s="1"/>
      <c r="C75" s="1"/>
      <c r="D75" s="1"/>
      <c r="I75" s="1"/>
      <c r="J75" s="1"/>
      <c r="K75" s="1"/>
    </row>
    <row r="76" spans="1:17" x14ac:dyDescent="0.2">
      <c r="A76" t="s">
        <v>6</v>
      </c>
      <c r="B76" s="34">
        <f>I12</f>
        <v>268</v>
      </c>
      <c r="C76" s="34">
        <f>J12</f>
        <v>285</v>
      </c>
      <c r="D76" s="34">
        <f>K12</f>
        <v>320</v>
      </c>
      <c r="H76" t="s">
        <v>6</v>
      </c>
      <c r="I76" s="36">
        <f>9.81*LN(B73/B74)</f>
        <v>9.7433310136219458</v>
      </c>
      <c r="J76" s="36">
        <f>9.81*LN(C73/C74)</f>
        <v>11.756534164181703</v>
      </c>
      <c r="K76" s="36">
        <f>9.81*LN(D73/D74)</f>
        <v>10.431834051435024</v>
      </c>
      <c r="O76" s="20"/>
      <c r="P76" s="20"/>
      <c r="Q76" s="20"/>
    </row>
    <row r="77" spans="1:17" x14ac:dyDescent="0.2">
      <c r="A77" t="s">
        <v>5</v>
      </c>
      <c r="B77" s="4">
        <f>9.81*B76*LN(B73/B74)</f>
        <v>2611.2127116506813</v>
      </c>
      <c r="C77" s="4">
        <f>9.81*C76*LN(C73/C74)</f>
        <v>3350.6122367917856</v>
      </c>
      <c r="D77" s="4">
        <f>9.81*D76*LN(D73/D74)</f>
        <v>3338.1868964592077</v>
      </c>
      <c r="E77" s="4"/>
      <c r="F77" s="32">
        <f>SUM(B77:D77)</f>
        <v>9300.0118449016736</v>
      </c>
      <c r="L77" s="4"/>
    </row>
    <row r="79" spans="1:17" x14ac:dyDescent="0.2">
      <c r="A79" s="10" t="s">
        <v>17</v>
      </c>
      <c r="B79" s="9">
        <f>B73/B74</f>
        <v>2.6998709536503283</v>
      </c>
      <c r="C79" s="9">
        <f>C73/C74</f>
        <v>3.3148867567677938</v>
      </c>
      <c r="D79" s="9">
        <f>D73/D74</f>
        <v>2.896165940641672</v>
      </c>
    </row>
    <row r="80" spans="1:17" x14ac:dyDescent="0.2">
      <c r="A80" s="10" t="s">
        <v>16</v>
      </c>
      <c r="B80" s="7">
        <f>(B71/B79-1)/(B71-1)</f>
        <v>0.291686582178662</v>
      </c>
      <c r="C80" s="7">
        <f>(C71/C79-1)/(C71-1)</f>
        <v>0.22140154891930575</v>
      </c>
      <c r="D80" s="7">
        <f>(D71/D79-1)/(D71-1)</f>
        <v>0.23616476308496592</v>
      </c>
    </row>
    <row r="82" spans="1:17" x14ac:dyDescent="0.2">
      <c r="B82" t="s">
        <v>12</v>
      </c>
      <c r="D82" t="s">
        <v>13</v>
      </c>
    </row>
    <row r="83" spans="1:17" x14ac:dyDescent="0.2">
      <c r="B83" s="33">
        <f>F13</f>
        <v>9300</v>
      </c>
      <c r="D83" s="36">
        <f>(F77-B83)</f>
        <v>1.1844901673612185E-2</v>
      </c>
    </row>
    <row r="87" spans="1:17" x14ac:dyDescent="0.2">
      <c r="A87" s="3" t="s">
        <v>23</v>
      </c>
      <c r="B87" s="3"/>
      <c r="C87" s="3"/>
      <c r="H87" s="3" t="s">
        <v>24</v>
      </c>
      <c r="N87" s="24" t="s">
        <v>25</v>
      </c>
      <c r="O87" s="24"/>
    </row>
    <row r="89" spans="1:17" x14ac:dyDescent="0.2">
      <c r="A89" t="s">
        <v>8</v>
      </c>
      <c r="B89">
        <v>1</v>
      </c>
      <c r="C89">
        <v>2</v>
      </c>
      <c r="D89">
        <v>3</v>
      </c>
      <c r="F89" s="11"/>
      <c r="H89" t="s">
        <v>8</v>
      </c>
      <c r="I89">
        <v>1</v>
      </c>
      <c r="J89">
        <v>2</v>
      </c>
      <c r="K89">
        <v>3</v>
      </c>
      <c r="N89" s="25"/>
      <c r="O89" s="25"/>
      <c r="P89" s="25"/>
      <c r="Q89" s="25"/>
    </row>
    <row r="90" spans="1:17" x14ac:dyDescent="0.2">
      <c r="A90" t="s">
        <v>9</v>
      </c>
      <c r="B90" s="22">
        <v>0.03</v>
      </c>
      <c r="C90" s="22">
        <v>0.03</v>
      </c>
      <c r="D90" s="22">
        <v>0.05</v>
      </c>
      <c r="E90" s="14"/>
      <c r="F90" s="16"/>
      <c r="H90" t="s">
        <v>9</v>
      </c>
      <c r="I90" s="21">
        <f t="shared" ref="I90:K91" si="1">ABS(B90*B68*I68)</f>
        <v>10.551737257167188</v>
      </c>
      <c r="J90" s="21">
        <f t="shared" si="1"/>
        <v>18.724052662493808</v>
      </c>
      <c r="K90" s="21">
        <f t="shared" si="1"/>
        <v>41.869003522800568</v>
      </c>
      <c r="L90" s="19">
        <f>SUM(I90:K90)</f>
        <v>71.144793442461562</v>
      </c>
      <c r="N90" s="25"/>
      <c r="O90" s="19"/>
      <c r="P90" s="19"/>
      <c r="Q90" s="19"/>
    </row>
    <row r="91" spans="1:17" x14ac:dyDescent="0.2">
      <c r="A91" t="s">
        <v>10</v>
      </c>
      <c r="B91" s="22">
        <v>2E-3</v>
      </c>
      <c r="C91" s="22">
        <v>2E-3</v>
      </c>
      <c r="D91" s="22">
        <v>2E-3</v>
      </c>
      <c r="E91" s="4"/>
      <c r="F91" s="4"/>
      <c r="H91" t="s">
        <v>10</v>
      </c>
      <c r="I91" s="21">
        <f t="shared" si="1"/>
        <v>3.3106002498235076</v>
      </c>
      <c r="J91" s="21">
        <f t="shared" si="1"/>
        <v>2.0842017335720682</v>
      </c>
      <c r="K91" s="21">
        <f t="shared" si="1"/>
        <v>1.8563273962525395</v>
      </c>
      <c r="L91" s="19">
        <f>SUM(I91:K91)</f>
        <v>7.2511293796481153</v>
      </c>
      <c r="N91" s="25"/>
      <c r="O91" s="19"/>
      <c r="P91" s="19"/>
      <c r="Q91" s="19"/>
    </row>
    <row r="92" spans="1:17" x14ac:dyDescent="0.2">
      <c r="A92" t="s">
        <v>6</v>
      </c>
      <c r="B92" s="23">
        <v>6.0000000000000001E-3</v>
      </c>
      <c r="C92" s="23">
        <v>6.0000000000000001E-3</v>
      </c>
      <c r="D92" s="23">
        <v>0.01</v>
      </c>
      <c r="H92" t="s">
        <v>6</v>
      </c>
      <c r="I92" s="21">
        <f>ABS(B92*B76*I76)</f>
        <v>15.66727626990409</v>
      </c>
      <c r="J92" s="21">
        <f>ABS(C92*C76*J76)</f>
        <v>20.103673420750713</v>
      </c>
      <c r="K92" s="21">
        <f>ABS(D92*D76*K76)</f>
        <v>33.38186896459208</v>
      </c>
      <c r="L92" s="19">
        <f>SUM(I92:K92)</f>
        <v>69.152818655246875</v>
      </c>
      <c r="O92" s="20"/>
      <c r="P92" s="20"/>
      <c r="Q92" s="20"/>
    </row>
    <row r="93" spans="1:17" x14ac:dyDescent="0.2">
      <c r="L93" s="16">
        <f>SUM(L90:L92)</f>
        <v>147.54874147735654</v>
      </c>
      <c r="N93" s="4">
        <f>E68</f>
        <v>2015.7685490611912</v>
      </c>
      <c r="O93" s="4">
        <f>L93/L68</f>
        <v>-164.111911410148</v>
      </c>
      <c r="P93" s="4">
        <f>N93+O93</f>
        <v>1851.6566376510432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scale="85" orientation="landscape" horizontalDpi="1200" verticalDpi="1200" r:id="rId1"/>
  <headerFooter alignWithMargins="0"/>
  <webPublishItems count="2">
    <webPublishItem id="10036" divId="DV_Performance_10036" sourceType="range" sourceRef="A43:G59" destinationFile="C:\Documents and Settings\guido\Documenti\Vega\DV_Performance.mht"/>
    <webPublishItem id="14711" divId="DV_Performance_14711" sourceType="range" sourceRef="A43:H59" destinationFile="C:\Documents and Settings\guido\Documenti\Vega\Pagina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C6" sqref="C6:E6"/>
    </sheetView>
  </sheetViews>
  <sheetFormatPr defaultRowHeight="12.75" x14ac:dyDescent="0.2"/>
  <cols>
    <col min="1" max="1" width="11.140625" bestFit="1" customWidth="1"/>
  </cols>
  <sheetData>
    <row r="1" spans="1:9" x14ac:dyDescent="0.2">
      <c r="B1" s="5" t="s">
        <v>11</v>
      </c>
      <c r="C1" s="27">
        <f>Launcher!B7</f>
        <v>9</v>
      </c>
      <c r="D1" s="27">
        <f>Launcher!C7</f>
        <v>9.6999999999999993</v>
      </c>
      <c r="E1" s="27">
        <f>Launcher!D7</f>
        <v>7</v>
      </c>
    </row>
    <row r="2" spans="1:9" x14ac:dyDescent="0.2">
      <c r="B2" t="s">
        <v>6</v>
      </c>
      <c r="C2" s="27">
        <f>Launcher!B12</f>
        <v>268</v>
      </c>
      <c r="D2" s="27">
        <f>Launcher!C12</f>
        <v>285</v>
      </c>
      <c r="E2" s="27">
        <f>Launcher!D12</f>
        <v>320</v>
      </c>
    </row>
    <row r="3" spans="1:9" x14ac:dyDescent="0.2">
      <c r="B3" t="s">
        <v>35</v>
      </c>
      <c r="C3">
        <f>9.81*C2</f>
        <v>2629.08</v>
      </c>
      <c r="D3">
        <f>9.81*D2</f>
        <v>2795.8500000000004</v>
      </c>
      <c r="E3">
        <f>9.81*E2</f>
        <v>3139.2000000000003</v>
      </c>
      <c r="H3" t="s">
        <v>5</v>
      </c>
      <c r="I3" s="15">
        <f>Launcher!F13</f>
        <v>9300</v>
      </c>
    </row>
    <row r="5" spans="1:9" x14ac:dyDescent="0.2">
      <c r="A5" t="s">
        <v>26</v>
      </c>
      <c r="C5" s="30" t="s">
        <v>28</v>
      </c>
      <c r="D5" s="30" t="s">
        <v>30</v>
      </c>
      <c r="E5" s="30" t="s">
        <v>29</v>
      </c>
      <c r="F5" s="30" t="s">
        <v>31</v>
      </c>
      <c r="G5" s="31" t="s">
        <v>33</v>
      </c>
      <c r="H5" s="31" t="s">
        <v>34</v>
      </c>
      <c r="I5" s="30" t="s">
        <v>32</v>
      </c>
    </row>
    <row r="6" spans="1:9" x14ac:dyDescent="0.2">
      <c r="A6" s="29">
        <v>5.4336200000000003E-4</v>
      </c>
      <c r="C6" s="7">
        <f>C$1*($A6*C$3-1)/C$3/$A6</f>
        <v>2.6998709536503269</v>
      </c>
      <c r="D6" s="7">
        <f>D$1*($A6*D$3-1)/D$3/$A6</f>
        <v>3.3148867567677947</v>
      </c>
      <c r="E6" s="7">
        <f>E$1*($A6*E$3-1)/E$3/$A6</f>
        <v>2.896165940641672</v>
      </c>
      <c r="F6" s="4">
        <f t="shared" ref="F6:F16" si="0">C$3*LN(C6)</f>
        <v>2611.2127116506804</v>
      </c>
      <c r="G6" s="4">
        <f t="shared" ref="G6:G16" si="1">D$3*LN(D6)</f>
        <v>3350.612236791786</v>
      </c>
      <c r="H6" s="4">
        <f t="shared" ref="H6:H16" si="2">E$3*LN(E6)</f>
        <v>3338.1868964592077</v>
      </c>
      <c r="I6" s="1">
        <f t="shared" ref="I6:I16" si="3">SUM(F6:H6)-I$3</f>
        <v>1.1844901673612185E-2</v>
      </c>
    </row>
    <row r="7" spans="1:9" x14ac:dyDescent="0.2">
      <c r="A7" s="26">
        <f>A6+0.00001</f>
        <v>5.5336200000000006E-4</v>
      </c>
      <c r="C7" s="7">
        <f t="shared" ref="C7:C16" si="4">C$1*($A7*C$3-1)/C$3/$A7</f>
        <v>2.8137228091508804</v>
      </c>
      <c r="D7" s="7">
        <f t="shared" ref="D7:D16" si="5">D$1*($A7*D$3-1)/D$3/$A7</f>
        <v>3.430274391683676</v>
      </c>
      <c r="E7" s="7">
        <f t="shared" ref="E7:E16" si="6">E$1*($A7*E$3-1)/E$3/$A7</f>
        <v>2.9703277742941157</v>
      </c>
      <c r="F7" s="4">
        <f t="shared" si="0"/>
        <v>2719.8054747520951</v>
      </c>
      <c r="G7" s="4">
        <f t="shared" si="1"/>
        <v>3446.2772584896138</v>
      </c>
      <c r="H7" s="4">
        <f t="shared" si="2"/>
        <v>3417.5601106560807</v>
      </c>
      <c r="I7" s="1">
        <f t="shared" si="3"/>
        <v>283.64284389778913</v>
      </c>
    </row>
    <row r="8" spans="1:9" x14ac:dyDescent="0.2">
      <c r="A8" s="26">
        <f t="shared" ref="A8:A16" si="7">A7+0.00001</f>
        <v>5.6336200000000009E-4</v>
      </c>
      <c r="C8" s="7">
        <f t="shared" si="4"/>
        <v>2.9235327926224155</v>
      </c>
      <c r="D8" s="7">
        <f t="shared" si="5"/>
        <v>3.5415656326320604</v>
      </c>
      <c r="E8" s="7">
        <f t="shared" si="6"/>
        <v>3.0418567774165464</v>
      </c>
      <c r="F8" s="4">
        <f t="shared" si="0"/>
        <v>2820.4579512757809</v>
      </c>
      <c r="G8" s="4">
        <f t="shared" si="1"/>
        <v>3535.5449548114807</v>
      </c>
      <c r="H8" s="4">
        <f t="shared" si="2"/>
        <v>3492.2598940876483</v>
      </c>
      <c r="I8" s="1">
        <f t="shared" si="3"/>
        <v>548.26280017491081</v>
      </c>
    </row>
    <row r="9" spans="1:9" x14ac:dyDescent="0.2">
      <c r="A9" s="26">
        <f t="shared" si="7"/>
        <v>5.7336200000000011E-4</v>
      </c>
      <c r="C9" s="7">
        <f t="shared" si="4"/>
        <v>3.0295123867946425</v>
      </c>
      <c r="D9" s="7">
        <f t="shared" si="5"/>
        <v>3.6489748150921448</v>
      </c>
      <c r="E9" s="7">
        <f t="shared" si="6"/>
        <v>3.110890707509288</v>
      </c>
      <c r="F9" s="4">
        <f t="shared" si="0"/>
        <v>2914.0766839124981</v>
      </c>
      <c r="G9" s="4">
        <f t="shared" si="1"/>
        <v>3619.0775636208905</v>
      </c>
      <c r="H9" s="4">
        <f t="shared" si="2"/>
        <v>3562.7066037586578</v>
      </c>
      <c r="I9" s="1">
        <f t="shared" si="3"/>
        <v>795.86085129204548</v>
      </c>
    </row>
    <row r="10" spans="1:9" x14ac:dyDescent="0.2">
      <c r="A10" s="26">
        <f t="shared" si="7"/>
        <v>5.8336200000000014E-4</v>
      </c>
      <c r="C10" s="7">
        <f t="shared" si="4"/>
        <v>3.1318585734369906</v>
      </c>
      <c r="D10" s="7">
        <f t="shared" si="5"/>
        <v>3.752701577975361</v>
      </c>
      <c r="E10" s="7">
        <f t="shared" si="6"/>
        <v>3.1775578763082626</v>
      </c>
      <c r="F10" s="4">
        <f t="shared" si="0"/>
        <v>3001.4277187284961</v>
      </c>
      <c r="G10" s="4">
        <f t="shared" si="1"/>
        <v>3697.4445285065194</v>
      </c>
      <c r="H10" s="4">
        <f t="shared" si="2"/>
        <v>3629.2697360119378</v>
      </c>
      <c r="I10" s="1">
        <f t="shared" si="3"/>
        <v>1028.1419832469528</v>
      </c>
    </row>
    <row r="11" spans="1:9" x14ac:dyDescent="0.2">
      <c r="A11" s="26">
        <f t="shared" si="7"/>
        <v>5.9336200000000016E-4</v>
      </c>
      <c r="C11" s="7">
        <f t="shared" si="4"/>
        <v>3.2307550552906155</v>
      </c>
      <c r="D11" s="7">
        <f t="shared" si="5"/>
        <v>3.8529321020403451</v>
      </c>
      <c r="E11" s="7">
        <f t="shared" si="6"/>
        <v>3.241977945737915</v>
      </c>
      <c r="F11" s="4">
        <f t="shared" si="0"/>
        <v>3083.1638478181749</v>
      </c>
      <c r="G11" s="4">
        <f t="shared" si="1"/>
        <v>3771.1387785423731</v>
      </c>
      <c r="H11" s="4">
        <f t="shared" si="2"/>
        <v>3692.2756218456343</v>
      </c>
      <c r="I11" s="1">
        <f t="shared" si="3"/>
        <v>1246.5782482061823</v>
      </c>
    </row>
    <row r="12" spans="1:9" x14ac:dyDescent="0.2">
      <c r="A12" s="26">
        <f t="shared" si="7"/>
        <v>6.0336200000000019E-4</v>
      </c>
      <c r="C12" s="7">
        <f t="shared" si="4"/>
        <v>3.3263733564880611</v>
      </c>
      <c r="D12" s="7">
        <f t="shared" si="5"/>
        <v>3.9498402251564784</v>
      </c>
      <c r="E12" s="7">
        <f t="shared" si="6"/>
        <v>3.3042626447123626</v>
      </c>
      <c r="F12" s="4">
        <f t="shared" si="0"/>
        <v>3159.8455806101092</v>
      </c>
      <c r="G12" s="4">
        <f t="shared" si="1"/>
        <v>3840.5896087645046</v>
      </c>
      <c r="H12" s="4">
        <f t="shared" si="2"/>
        <v>3752.0137340398364</v>
      </c>
      <c r="I12" s="1">
        <f t="shared" si="3"/>
        <v>1452.4489234144494</v>
      </c>
    </row>
    <row r="13" spans="1:9" x14ac:dyDescent="0.2">
      <c r="A13" s="26">
        <f t="shared" si="7"/>
        <v>6.1336200000000022E-4</v>
      </c>
      <c r="C13" s="7">
        <f t="shared" si="4"/>
        <v>3.4188738153282241</v>
      </c>
      <c r="D13" s="7">
        <f t="shared" si="5"/>
        <v>4.043588448470663</v>
      </c>
      <c r="E13" s="7">
        <f t="shared" si="6"/>
        <v>3.3645164158179686</v>
      </c>
      <c r="F13" s="4">
        <f t="shared" si="0"/>
        <v>3231.957497798141</v>
      </c>
      <c r="G13" s="4">
        <f t="shared" si="1"/>
        <v>3906.1729771502723</v>
      </c>
      <c r="H13" s="4">
        <f t="shared" si="2"/>
        <v>3808.7418948718764</v>
      </c>
      <c r="I13" s="1">
        <f t="shared" si="3"/>
        <v>1646.8723698202903</v>
      </c>
    </row>
    <row r="14" spans="1:9" x14ac:dyDescent="0.2">
      <c r="A14" s="26">
        <f t="shared" si="7"/>
        <v>6.2336200000000024E-4</v>
      </c>
      <c r="C14" s="7">
        <f t="shared" si="4"/>
        <v>3.5084064814944602</v>
      </c>
      <c r="D14" s="7">
        <f t="shared" si="5"/>
        <v>4.134328845728267</v>
      </c>
      <c r="E14" s="7">
        <f t="shared" si="6"/>
        <v>3.4228369997512536</v>
      </c>
      <c r="F14" s="4">
        <f t="shared" si="0"/>
        <v>3299.9211545695202</v>
      </c>
      <c r="G14" s="4">
        <f t="shared" si="1"/>
        <v>3968.2198144357853</v>
      </c>
      <c r="H14" s="4">
        <f t="shared" si="2"/>
        <v>3862.6906055915174</v>
      </c>
      <c r="I14" s="1">
        <f t="shared" si="3"/>
        <v>1830.831574596823</v>
      </c>
    </row>
    <row r="15" spans="1:9" x14ac:dyDescent="0.2">
      <c r="A15" s="26">
        <f t="shared" si="7"/>
        <v>6.3336200000000027E-4</v>
      </c>
      <c r="C15" s="7">
        <f t="shared" si="4"/>
        <v>3.5951119282769577</v>
      </c>
      <c r="D15" s="7">
        <f t="shared" si="5"/>
        <v>4.2222038864517657</v>
      </c>
      <c r="E15" s="7">
        <f t="shared" si="6"/>
        <v>3.4793159643915192</v>
      </c>
      <c r="F15" s="4">
        <f t="shared" si="0"/>
        <v>3364.1053699469448</v>
      </c>
      <c r="G15" s="4">
        <f t="shared" si="1"/>
        <v>4027.0227886103821</v>
      </c>
      <c r="H15" s="4">
        <f t="shared" si="2"/>
        <v>3914.0666687085345</v>
      </c>
      <c r="I15" s="1">
        <f t="shared" si="3"/>
        <v>2005.194827265861</v>
      </c>
    </row>
    <row r="16" spans="1:9" x14ac:dyDescent="0.2">
      <c r="A16" s="26">
        <f t="shared" si="7"/>
        <v>6.433620000000003E-4</v>
      </c>
      <c r="C16" s="7">
        <f t="shared" si="4"/>
        <v>3.6791219890471476</v>
      </c>
      <c r="D16" s="7">
        <f t="shared" si="5"/>
        <v>4.3073471823496945</v>
      </c>
      <c r="E16" s="7">
        <f t="shared" si="6"/>
        <v>3.5340391845321002</v>
      </c>
      <c r="F16" s="4">
        <f t="shared" si="0"/>
        <v>3424.8345116406704</v>
      </c>
      <c r="G16" s="4">
        <f t="shared" si="1"/>
        <v>4082.8418555279241</v>
      </c>
      <c r="H16" s="4">
        <f t="shared" si="2"/>
        <v>3963.0562365871583</v>
      </c>
      <c r="I16" s="1">
        <f t="shared" si="3"/>
        <v>2170.7326037557541</v>
      </c>
    </row>
    <row r="17" spans="1:9" x14ac:dyDescent="0.2">
      <c r="A17" s="26"/>
      <c r="I17" s="1"/>
    </row>
    <row r="18" spans="1:9" x14ac:dyDescent="0.2">
      <c r="A18" s="26"/>
      <c r="I18" s="1"/>
    </row>
    <row r="19" spans="1:9" x14ac:dyDescent="0.2">
      <c r="A19" s="29">
        <v>5.1639999999999998E-4</v>
      </c>
      <c r="C19" s="7">
        <f>C$1*($A19*C$3-1)/C$3/$A19</f>
        <v>2.3709319928686075</v>
      </c>
      <c r="D19" s="7">
        <f>D$1*($A19*D$3-1)/D$3/$A19</f>
        <v>2.9815106466515524</v>
      </c>
      <c r="E19" s="7">
        <f>E$1*($A19*E$3-1)/E$3/$A19</f>
        <v>2.6818987564658014</v>
      </c>
      <c r="F19" s="4">
        <f t="shared" ref="F19:F29" si="8">C$3*LN(C19)</f>
        <v>2269.6403950734189</v>
      </c>
      <c r="G19" s="4">
        <f t="shared" ref="G19:G29" si="9">D$3*LN(D19)</f>
        <v>3054.2706964244248</v>
      </c>
      <c r="H19" s="4">
        <f t="shared" ref="H19:H29" si="10">E$3*LN(E19)</f>
        <v>3096.899389495065</v>
      </c>
      <c r="I19" s="1">
        <f t="shared" ref="I19:I29" si="11">SUM(F19:H19)-I$3</f>
        <v>-879.1895190070918</v>
      </c>
    </row>
    <row r="20" spans="1:9" x14ac:dyDescent="0.2">
      <c r="A20" s="26">
        <f>A19+0.000001</f>
        <v>5.174E-4</v>
      </c>
      <c r="C20" s="7">
        <f t="shared" ref="C20:E29" si="12">C$1*($A20*C$3-1)/C$3/$A20</f>
        <v>2.3837442619198854</v>
      </c>
      <c r="D20" s="7">
        <f t="shared" si="12"/>
        <v>2.9944957439715161</v>
      </c>
      <c r="E20" s="7">
        <f t="shared" si="12"/>
        <v>2.6902445261672603</v>
      </c>
      <c r="F20" s="4">
        <f t="shared" si="8"/>
        <v>2283.8094194371783</v>
      </c>
      <c r="G20" s="4">
        <f t="shared" si="9"/>
        <v>3066.4207642471974</v>
      </c>
      <c r="H20" s="4">
        <f t="shared" si="10"/>
        <v>3106.6530613333434</v>
      </c>
      <c r="I20" s="1">
        <f t="shared" si="11"/>
        <v>-843.11675498228033</v>
      </c>
    </row>
    <row r="21" spans="1:9" x14ac:dyDescent="0.2">
      <c r="A21" s="26">
        <f t="shared" ref="A21:A29" si="13">A20+0.000001</f>
        <v>5.1840000000000002E-4</v>
      </c>
      <c r="C21" s="7">
        <f t="shared" si="12"/>
        <v>2.3965071009208123</v>
      </c>
      <c r="D21" s="7">
        <f t="shared" si="12"/>
        <v>3.0074307444653985</v>
      </c>
      <c r="E21" s="7">
        <f t="shared" si="12"/>
        <v>2.69855809768314</v>
      </c>
      <c r="F21" s="4">
        <f t="shared" si="8"/>
        <v>2297.8482646543785</v>
      </c>
      <c r="G21" s="4">
        <f t="shared" si="9"/>
        <v>3078.4716872935455</v>
      </c>
      <c r="H21" s="4">
        <f t="shared" si="10"/>
        <v>3116.3390662696584</v>
      </c>
      <c r="I21" s="1">
        <f t="shared" si="11"/>
        <v>-807.34098178241766</v>
      </c>
    </row>
    <row r="22" spans="1:9" x14ac:dyDescent="0.2">
      <c r="A22" s="26">
        <f t="shared" si="13"/>
        <v>5.1940000000000005E-4</v>
      </c>
      <c r="C22" s="7">
        <f t="shared" si="12"/>
        <v>2.4092207953741798</v>
      </c>
      <c r="D22" s="7">
        <f t="shared" si="12"/>
        <v>3.0203159374872213</v>
      </c>
      <c r="E22" s="7">
        <f t="shared" si="12"/>
        <v>2.7068396569867925</v>
      </c>
      <c r="F22" s="4">
        <f t="shared" si="8"/>
        <v>2311.7589139938414</v>
      </c>
      <c r="G22" s="4">
        <f t="shared" si="9"/>
        <v>3090.4247847555403</v>
      </c>
      <c r="H22" s="4">
        <f t="shared" si="10"/>
        <v>3125.9581516680996</v>
      </c>
      <c r="I22" s="1">
        <f t="shared" si="11"/>
        <v>-771.85814958251831</v>
      </c>
    </row>
    <row r="23" spans="1:9" x14ac:dyDescent="0.2">
      <c r="A23" s="26">
        <f t="shared" si="13"/>
        <v>5.2040000000000007E-4</v>
      </c>
      <c r="C23" s="7">
        <f t="shared" si="12"/>
        <v>2.4218856285882966</v>
      </c>
      <c r="D23" s="7">
        <f t="shared" si="12"/>
        <v>3.0331516101669154</v>
      </c>
      <c r="E23" s="7">
        <f t="shared" si="12"/>
        <v>2.7150893886220997</v>
      </c>
      <c r="F23" s="4">
        <f t="shared" si="8"/>
        <v>2325.5433074891721</v>
      </c>
      <c r="G23" s="4">
        <f t="shared" si="9"/>
        <v>3102.2813509175121</v>
      </c>
      <c r="H23" s="4">
        <f t="shared" si="10"/>
        <v>3135.5110533446004</v>
      </c>
      <c r="I23" s="1">
        <f t="shared" si="11"/>
        <v>-736.66428824871582</v>
      </c>
    </row>
    <row r="24" spans="1:9" x14ac:dyDescent="0.2">
      <c r="A24" s="26">
        <f t="shared" si="13"/>
        <v>5.214000000000001E-4</v>
      </c>
      <c r="C24" s="7">
        <f t="shared" si="12"/>
        <v>2.4345018816980235</v>
      </c>
      <c r="D24" s="7">
        <f t="shared" si="12"/>
        <v>3.0459380474316511</v>
      </c>
      <c r="E24" s="7">
        <f t="shared" si="12"/>
        <v>2.7233074757171858</v>
      </c>
      <c r="F24" s="4">
        <f t="shared" si="8"/>
        <v>2339.2033431738701</v>
      </c>
      <c r="G24" s="4">
        <f t="shared" si="9"/>
        <v>3114.0426557703545</v>
      </c>
      <c r="H24" s="4">
        <f t="shared" si="10"/>
        <v>3144.9984957983756</v>
      </c>
      <c r="I24" s="1">
        <f t="shared" si="11"/>
        <v>-701.75550525739891</v>
      </c>
    </row>
    <row r="25" spans="1:9" x14ac:dyDescent="0.2">
      <c r="A25" s="26">
        <f t="shared" si="13"/>
        <v>5.2240000000000012E-4</v>
      </c>
      <c r="C25" s="7">
        <f t="shared" si="12"/>
        <v>2.4470698336855854</v>
      </c>
      <c r="D25" s="7">
        <f t="shared" si="12"/>
        <v>3.0586755320269194</v>
      </c>
      <c r="E25" s="7">
        <f t="shared" si="12"/>
        <v>2.7314940999979718</v>
      </c>
      <c r="F25" s="4">
        <f t="shared" si="8"/>
        <v>2352.7408782727875</v>
      </c>
      <c r="G25" s="4">
        <f t="shared" si="9"/>
        <v>3125.7099456070819</v>
      </c>
      <c r="H25" s="4">
        <f t="shared" si="10"/>
        <v>3154.4211924376486</v>
      </c>
      <c r="I25" s="1">
        <f t="shared" si="11"/>
        <v>-667.1279836824815</v>
      </c>
    </row>
    <row r="26" spans="1:9" x14ac:dyDescent="0.2">
      <c r="A26" s="26">
        <f t="shared" si="13"/>
        <v>5.2340000000000015E-4</v>
      </c>
      <c r="C26" s="7">
        <f t="shared" si="12"/>
        <v>2.4595897614011264</v>
      </c>
      <c r="D26" s="7">
        <f t="shared" si="12"/>
        <v>3.0713643445373768</v>
      </c>
      <c r="E26" s="7">
        <f t="shared" si="12"/>
        <v>2.7396494418015673</v>
      </c>
      <c r="F26" s="4">
        <f t="shared" si="8"/>
        <v>2366.1577303517265</v>
      </c>
      <c r="G26" s="4">
        <f t="shared" si="9"/>
        <v>3137.2844436003361</v>
      </c>
      <c r="H26" s="4">
        <f t="shared" si="10"/>
        <v>3163.779845799811</v>
      </c>
      <c r="I26" s="1">
        <f t="shared" si="11"/>
        <v>-632.77798024812728</v>
      </c>
    </row>
    <row r="27" spans="1:9" x14ac:dyDescent="0.2">
      <c r="A27" s="26">
        <f t="shared" si="13"/>
        <v>5.2440000000000017E-4</v>
      </c>
      <c r="C27" s="7">
        <f t="shared" si="12"/>
        <v>2.4720619395830474</v>
      </c>
      <c r="D27" s="7">
        <f t="shared" si="12"/>
        <v>3.0840047634074428</v>
      </c>
      <c r="E27" s="7">
        <f t="shared" si="12"/>
        <v>2.7477736800895132</v>
      </c>
      <c r="F27" s="4">
        <f t="shared" si="8"/>
        <v>2379.4556784269707</v>
      </c>
      <c r="G27" s="4">
        <f t="shared" si="9"/>
        <v>3148.7673503624746</v>
      </c>
      <c r="H27" s="4">
        <f t="shared" si="10"/>
        <v>3173.0751477661997</v>
      </c>
      <c r="I27" s="1">
        <f t="shared" si="11"/>
        <v>-598.70182344435489</v>
      </c>
    </row>
    <row r="28" spans="1:9" x14ac:dyDescent="0.2">
      <c r="A28" s="26">
        <f t="shared" si="13"/>
        <v>5.2540000000000019E-4</v>
      </c>
      <c r="C28" s="7">
        <f t="shared" si="12"/>
        <v>2.4844866408780923</v>
      </c>
      <c r="D28" s="7">
        <f t="shared" si="12"/>
        <v>3.096597064961673</v>
      </c>
      <c r="E28" s="7">
        <f t="shared" si="12"/>
        <v>2.7558669924608692</v>
      </c>
      <c r="F28" s="4">
        <f t="shared" si="8"/>
        <v>2392.6364640363704</v>
      </c>
      <c r="G28" s="4">
        <f t="shared" si="9"/>
        <v>3160.159844488885</v>
      </c>
      <c r="H28" s="4">
        <f t="shared" si="10"/>
        <v>3182.3077797716351</v>
      </c>
      <c r="I28" s="1">
        <f t="shared" si="11"/>
        <v>-564.89591170310814</v>
      </c>
    </row>
    <row r="29" spans="1:9" x14ac:dyDescent="0.2">
      <c r="A29" s="26">
        <f t="shared" si="13"/>
        <v>5.2640000000000022E-4</v>
      </c>
      <c r="C29" s="7">
        <f t="shared" si="12"/>
        <v>2.4968641358612276</v>
      </c>
      <c r="D29" s="7">
        <f t="shared" si="12"/>
        <v>3.1091415234248938</v>
      </c>
      <c r="E29" s="7">
        <f t="shared" si="12"/>
        <v>2.7639295551651619</v>
      </c>
      <c r="F29" s="4">
        <f t="shared" si="8"/>
        <v>2405.7017922736154</v>
      </c>
      <c r="G29" s="4">
        <f t="shared" si="9"/>
        <v>3171.4630830851183</v>
      </c>
      <c r="H29" s="4">
        <f t="shared" si="10"/>
        <v>3191.4784130088897</v>
      </c>
      <c r="I29" s="1">
        <f t="shared" si="11"/>
        <v>-531.35671163237566</v>
      </c>
    </row>
    <row r="30" spans="1:9" x14ac:dyDescent="0.2">
      <c r="A30" s="26"/>
      <c r="I30" s="1"/>
    </row>
    <row r="31" spans="1:9" x14ac:dyDescent="0.2">
      <c r="A31" s="26"/>
      <c r="I31" s="1"/>
    </row>
    <row r="32" spans="1:9" x14ac:dyDescent="0.2">
      <c r="A32" s="29">
        <v>5.4699999999999996E-4</v>
      </c>
      <c r="C32" s="7">
        <f>C$1*($A32*C$3-1)/C$3/$A32</f>
        <v>2.7417719947300712</v>
      </c>
      <c r="D32" s="7">
        <f>D$1*($A32*D$3-1)/D$3/$A32</f>
        <v>3.3573530126706803</v>
      </c>
      <c r="E32" s="7">
        <f>E$1*($A32*E$3-1)/E$3/$A32</f>
        <v>2.9234598132338934</v>
      </c>
      <c r="F32" s="4">
        <f t="shared" ref="F32:F42" si="14">C$3*LN(C32)</f>
        <v>2651.7017210903923</v>
      </c>
      <c r="G32" s="4">
        <f t="shared" ref="G32:G42" si="15">D$3*LN(D32)</f>
        <v>3386.201750623417</v>
      </c>
      <c r="H32" s="4">
        <f t="shared" ref="H32:H42" si="16">E$3*LN(E32)</f>
        <v>3367.6326225869416</v>
      </c>
      <c r="I32" s="1">
        <f t="shared" ref="I32:I42" si="17">SUM(F32:H32)-I$3</f>
        <v>105.53609430075085</v>
      </c>
    </row>
    <row r="33" spans="1:9" x14ac:dyDescent="0.2">
      <c r="A33" s="26">
        <f>A32+0.0000001</f>
        <v>5.4709999999999991E-4</v>
      </c>
      <c r="C33" s="7">
        <f t="shared" ref="C33:E42" si="18">C$1*($A33*C$3-1)/C$3/$A33</f>
        <v>2.7429158857929967</v>
      </c>
      <c r="D33" s="7">
        <f t="shared" si="18"/>
        <v>3.3585123339990153</v>
      </c>
      <c r="E33" s="7">
        <f t="shared" si="18"/>
        <v>2.9242049311623832</v>
      </c>
      <c r="F33" s="4">
        <f t="shared" si="14"/>
        <v>2652.7983673261792</v>
      </c>
      <c r="G33" s="4">
        <f t="shared" si="15"/>
        <v>3387.1670137431211</v>
      </c>
      <c r="H33" s="4">
        <f t="shared" si="16"/>
        <v>3368.4326254311591</v>
      </c>
      <c r="I33" s="1">
        <f t="shared" si="17"/>
        <v>108.398006500458</v>
      </c>
    </row>
    <row r="34" spans="1:9" x14ac:dyDescent="0.2">
      <c r="A34" s="26">
        <f t="shared" ref="A34:A42" si="19">A33+0.0000001</f>
        <v>5.4719999999999986E-4</v>
      </c>
      <c r="C34" s="7">
        <f t="shared" si="18"/>
        <v>2.7440593587670836</v>
      </c>
      <c r="D34" s="7">
        <f t="shared" si="18"/>
        <v>3.3596712315987958</v>
      </c>
      <c r="E34" s="7">
        <f t="shared" si="18"/>
        <v>2.9249497767524475</v>
      </c>
      <c r="F34" s="4">
        <f t="shared" si="14"/>
        <v>2653.8941557473909</v>
      </c>
      <c r="G34" s="4">
        <f t="shared" si="15"/>
        <v>3388.1315911039051</v>
      </c>
      <c r="H34" s="4">
        <f t="shared" si="16"/>
        <v>3369.232132165288</v>
      </c>
      <c r="I34" s="1">
        <f t="shared" si="17"/>
        <v>111.25787901658259</v>
      </c>
    </row>
    <row r="35" spans="1:9" x14ac:dyDescent="0.2">
      <c r="A35" s="26">
        <f t="shared" si="19"/>
        <v>5.472999999999998E-4</v>
      </c>
      <c r="C35" s="7">
        <f t="shared" si="18"/>
        <v>2.745202413881505</v>
      </c>
      <c r="D35" s="7">
        <f t="shared" si="18"/>
        <v>3.3608297057022858</v>
      </c>
      <c r="E35" s="7">
        <f t="shared" si="18"/>
        <v>2.9256943501533699</v>
      </c>
      <c r="F35" s="4">
        <f t="shared" si="14"/>
        <v>2654.989087455197</v>
      </c>
      <c r="G35" s="4">
        <f t="shared" si="15"/>
        <v>3389.0954834936369</v>
      </c>
      <c r="H35" s="4">
        <f t="shared" si="16"/>
        <v>3370.0311432765757</v>
      </c>
      <c r="I35" s="1">
        <f t="shared" si="17"/>
        <v>114.11571422540874</v>
      </c>
    </row>
    <row r="36" spans="1:9" x14ac:dyDescent="0.2">
      <c r="A36" s="26">
        <f t="shared" si="19"/>
        <v>5.4739999999999975E-4</v>
      </c>
      <c r="C36" s="7">
        <f t="shared" si="18"/>
        <v>2.7463450513652674</v>
      </c>
      <c r="D36" s="7">
        <f t="shared" si="18"/>
        <v>3.3619877565415797</v>
      </c>
      <c r="E36" s="7">
        <f t="shared" si="18"/>
        <v>2.9264386515143204</v>
      </c>
      <c r="F36" s="4">
        <f t="shared" si="14"/>
        <v>2656.083163548748</v>
      </c>
      <c r="G36" s="4">
        <f t="shared" si="15"/>
        <v>3390.0586916989014</v>
      </c>
      <c r="H36" s="4">
        <f t="shared" si="16"/>
        <v>3370.8296592515981</v>
      </c>
      <c r="I36" s="1">
        <f t="shared" si="17"/>
        <v>116.97151449924786</v>
      </c>
    </row>
    <row r="37" spans="1:9" x14ac:dyDescent="0.2">
      <c r="A37" s="26">
        <f t="shared" si="19"/>
        <v>5.474999999999997E-4</v>
      </c>
      <c r="C37" s="7">
        <f t="shared" si="18"/>
        <v>2.7474872714472092</v>
      </c>
      <c r="D37" s="7">
        <f t="shared" si="18"/>
        <v>3.3631453843486026</v>
      </c>
      <c r="E37" s="7">
        <f t="shared" si="18"/>
        <v>2.9271826809843629</v>
      </c>
      <c r="F37" s="4">
        <f t="shared" si="14"/>
        <v>2657.1763851251808</v>
      </c>
      <c r="G37" s="4">
        <f t="shared" si="15"/>
        <v>3391.0212165050057</v>
      </c>
      <c r="H37" s="4">
        <f t="shared" si="16"/>
        <v>3371.6276805762668</v>
      </c>
      <c r="I37" s="1">
        <f t="shared" si="17"/>
        <v>119.82528220645327</v>
      </c>
    </row>
    <row r="38" spans="1:9" x14ac:dyDescent="0.2">
      <c r="A38" s="26">
        <f t="shared" si="19"/>
        <v>5.4759999999999965E-4</v>
      </c>
      <c r="C38" s="7">
        <f t="shared" si="18"/>
        <v>2.748629074356002</v>
      </c>
      <c r="D38" s="7">
        <f t="shared" si="18"/>
        <v>3.3643025893551131</v>
      </c>
      <c r="E38" s="7">
        <f t="shared" si="18"/>
        <v>2.9279264387124524</v>
      </c>
      <c r="F38" s="4">
        <f t="shared" si="14"/>
        <v>2658.2687532796235</v>
      </c>
      <c r="G38" s="4">
        <f t="shared" si="15"/>
        <v>3391.9830586959847</v>
      </c>
      <c r="H38" s="4">
        <f t="shared" si="16"/>
        <v>3372.4252077358283</v>
      </c>
      <c r="I38" s="1">
        <f t="shared" si="17"/>
        <v>122.67701971143651</v>
      </c>
    </row>
    <row r="39" spans="1:9" x14ac:dyDescent="0.2">
      <c r="A39" s="26">
        <f t="shared" si="19"/>
        <v>5.476999999999996E-4</v>
      </c>
      <c r="C39" s="7">
        <f t="shared" si="18"/>
        <v>2.7497704603201503</v>
      </c>
      <c r="D39" s="7">
        <f t="shared" si="18"/>
        <v>3.3654593717926962</v>
      </c>
      <c r="E39" s="7">
        <f t="shared" si="18"/>
        <v>2.9286699248474317</v>
      </c>
      <c r="F39" s="4">
        <f t="shared" si="14"/>
        <v>2659.360269105202</v>
      </c>
      <c r="G39" s="4">
        <f t="shared" si="15"/>
        <v>3392.9442190545951</v>
      </c>
      <c r="H39" s="4">
        <f t="shared" si="16"/>
        <v>3373.2222412148594</v>
      </c>
      <c r="I39" s="1">
        <f t="shared" si="17"/>
        <v>125.5267293746565</v>
      </c>
    </row>
    <row r="40" spans="1:9" x14ac:dyDescent="0.2">
      <c r="A40" s="26">
        <f t="shared" si="19"/>
        <v>5.4779999999999955E-4</v>
      </c>
      <c r="C40" s="7">
        <f t="shared" si="18"/>
        <v>2.7509114295679926</v>
      </c>
      <c r="D40" s="7">
        <f t="shared" si="18"/>
        <v>3.3666157318927707</v>
      </c>
      <c r="E40" s="7">
        <f t="shared" si="18"/>
        <v>2.9294131395380401</v>
      </c>
      <c r="F40" s="4">
        <f t="shared" si="14"/>
        <v>2660.4509336930423</v>
      </c>
      <c r="G40" s="4">
        <f t="shared" si="15"/>
        <v>3393.9046983623257</v>
      </c>
      <c r="H40" s="4">
        <f t="shared" si="16"/>
        <v>3374.0187814972805</v>
      </c>
      <c r="I40" s="1">
        <f t="shared" si="17"/>
        <v>128.37441355264855</v>
      </c>
    </row>
    <row r="41" spans="1:9" x14ac:dyDescent="0.2">
      <c r="A41" s="26">
        <f t="shared" si="19"/>
        <v>5.4789999999999949E-4</v>
      </c>
      <c r="C41" s="7">
        <f t="shared" si="18"/>
        <v>2.7520519823276985</v>
      </c>
      <c r="D41" s="7">
        <f t="shared" si="18"/>
        <v>3.3677716698865829</v>
      </c>
      <c r="E41" s="7">
        <f t="shared" si="18"/>
        <v>2.9301560829329039</v>
      </c>
      <c r="F41" s="4">
        <f t="shared" si="14"/>
        <v>2661.5407481322745</v>
      </c>
      <c r="G41" s="4">
        <f t="shared" si="15"/>
        <v>3394.8644973993951</v>
      </c>
      <c r="H41" s="4">
        <f t="shared" si="16"/>
        <v>3374.8148290663444</v>
      </c>
      <c r="I41" s="1">
        <f t="shared" si="17"/>
        <v>131.22007459801353</v>
      </c>
    </row>
    <row r="42" spans="1:9" x14ac:dyDescent="0.2">
      <c r="A42" s="26">
        <f t="shared" si="19"/>
        <v>5.4799999999999944E-4</v>
      </c>
      <c r="C42" s="7">
        <f t="shared" si="18"/>
        <v>2.7531921188272728</v>
      </c>
      <c r="D42" s="7">
        <f t="shared" si="18"/>
        <v>3.3689271860052163</v>
      </c>
      <c r="E42" s="7">
        <f t="shared" si="18"/>
        <v>2.930898755180543</v>
      </c>
      <c r="F42" s="4">
        <f t="shared" si="14"/>
        <v>2662.6297135100413</v>
      </c>
      <c r="G42" s="4">
        <f t="shared" si="15"/>
        <v>3395.8236169447605</v>
      </c>
      <c r="H42" s="4">
        <f t="shared" si="16"/>
        <v>3375.6103844046452</v>
      </c>
      <c r="I42" s="1">
        <f t="shared" si="17"/>
        <v>134.06371485944692</v>
      </c>
    </row>
    <row r="45" spans="1:9" x14ac:dyDescent="0.2">
      <c r="A45" s="29">
        <v>5.1639999999999998E-4</v>
      </c>
      <c r="C45" s="7">
        <f>C$1*($A45*C$3-1)/C$3/$A45</f>
        <v>2.3709319928686075</v>
      </c>
      <c r="D45" s="7">
        <f>D$1*($A45*D$3-1)/D$3/$A45</f>
        <v>2.9815106466515524</v>
      </c>
      <c r="E45" s="7">
        <f>E$1*($A45*E$3-1)/E$3/$A45</f>
        <v>2.6818987564658014</v>
      </c>
      <c r="F45" s="4">
        <f t="shared" ref="F45:F55" si="20">C$3*LN(C45)</f>
        <v>2269.6403950734189</v>
      </c>
      <c r="G45" s="4">
        <f t="shared" ref="G45:G55" si="21">D$3*LN(D45)</f>
        <v>3054.2706964244248</v>
      </c>
      <c r="H45" s="4">
        <f t="shared" ref="H45:H55" si="22">E$3*LN(E45)</f>
        <v>3096.899389495065</v>
      </c>
      <c r="I45" s="1">
        <f t="shared" ref="I45:I55" si="23">SUM(F45:H45)-I$3</f>
        <v>-879.1895190070918</v>
      </c>
    </row>
    <row r="46" spans="1:9" x14ac:dyDescent="0.2">
      <c r="A46" s="26">
        <f>A45+0.00000001</f>
        <v>5.1641000000000002E-4</v>
      </c>
      <c r="C46" s="7">
        <f t="shared" ref="C46:E55" si="24">C$1*($A46*C$3-1)/C$3/$A46</f>
        <v>2.3710603611807466</v>
      </c>
      <c r="D46" s="7">
        <f t="shared" si="24"/>
        <v>2.9816407465596368</v>
      </c>
      <c r="E46" s="7">
        <f t="shared" si="24"/>
        <v>2.6819823741580144</v>
      </c>
      <c r="F46" s="4">
        <f t="shared" si="20"/>
        <v>2269.7827363245065</v>
      </c>
      <c r="G46" s="4">
        <f t="shared" si="21"/>
        <v>3054.3926922632322</v>
      </c>
      <c r="H46" s="4">
        <f t="shared" si="22"/>
        <v>3096.9972636473899</v>
      </c>
      <c r="I46" s="1">
        <f t="shared" si="23"/>
        <v>-878.82730776487188</v>
      </c>
    </row>
    <row r="47" spans="1:9" x14ac:dyDescent="0.2">
      <c r="A47" s="26">
        <f t="shared" ref="A47:A55" si="25">A46+0.00000001</f>
        <v>5.1642000000000007E-4</v>
      </c>
      <c r="C47" s="7">
        <f t="shared" si="24"/>
        <v>2.3711887245214163</v>
      </c>
      <c r="D47" s="7">
        <f t="shared" si="24"/>
        <v>2.9817708414291899</v>
      </c>
      <c r="E47" s="7">
        <f t="shared" si="24"/>
        <v>2.6820659886118672</v>
      </c>
      <c r="F47" s="4">
        <f t="shared" si="20"/>
        <v>2269.9250643573328</v>
      </c>
      <c r="G47" s="4">
        <f t="shared" si="21"/>
        <v>3054.5146780546647</v>
      </c>
      <c r="H47" s="4">
        <f t="shared" si="22"/>
        <v>3097.095130957975</v>
      </c>
      <c r="I47" s="1">
        <f t="shared" si="23"/>
        <v>-878.46512663002795</v>
      </c>
    </row>
    <row r="48" spans="1:9" x14ac:dyDescent="0.2">
      <c r="A48" s="26">
        <f t="shared" si="25"/>
        <v>5.1643000000000012E-4</v>
      </c>
      <c r="C48" s="7">
        <f t="shared" si="24"/>
        <v>2.3713170828909034</v>
      </c>
      <c r="D48" s="7">
        <f t="shared" si="24"/>
        <v>2.981900931260506</v>
      </c>
      <c r="E48" s="7">
        <f t="shared" si="24"/>
        <v>2.6821495998275475</v>
      </c>
      <c r="F48" s="4">
        <f t="shared" si="20"/>
        <v>2270.0673791739455</v>
      </c>
      <c r="G48" s="4">
        <f t="shared" si="21"/>
        <v>3054.6366538000793</v>
      </c>
      <c r="H48" s="4">
        <f t="shared" si="22"/>
        <v>3097.1929914275838</v>
      </c>
      <c r="I48" s="1">
        <f t="shared" si="23"/>
        <v>-878.10297559839091</v>
      </c>
    </row>
    <row r="49" spans="1:9" x14ac:dyDescent="0.2">
      <c r="A49" s="26">
        <f t="shared" si="25"/>
        <v>5.1644000000000017E-4</v>
      </c>
      <c r="C49" s="7">
        <f t="shared" si="24"/>
        <v>2.3714454362895006</v>
      </c>
      <c r="D49" s="7">
        <f t="shared" si="24"/>
        <v>2.9820310160538748</v>
      </c>
      <c r="E49" s="7">
        <f t="shared" si="24"/>
        <v>2.6822332078052447</v>
      </c>
      <c r="F49" s="4">
        <f t="shared" si="20"/>
        <v>2270.2096807763983</v>
      </c>
      <c r="G49" s="4">
        <f t="shared" si="21"/>
        <v>3054.7586195008321</v>
      </c>
      <c r="H49" s="4">
        <f t="shared" si="22"/>
        <v>3097.2908450569839</v>
      </c>
      <c r="I49" s="1">
        <f t="shared" si="23"/>
        <v>-877.74085466578617</v>
      </c>
    </row>
    <row r="50" spans="1:9" x14ac:dyDescent="0.2">
      <c r="A50" s="26">
        <f t="shared" si="25"/>
        <v>5.1645000000000022E-4</v>
      </c>
      <c r="C50" s="7">
        <f t="shared" si="24"/>
        <v>2.3715737847174947</v>
      </c>
      <c r="D50" s="7">
        <f t="shared" si="24"/>
        <v>2.9821610958095923</v>
      </c>
      <c r="E50" s="7">
        <f t="shared" si="24"/>
        <v>2.682316812545146</v>
      </c>
      <c r="F50" s="4">
        <f t="shared" si="20"/>
        <v>2270.3519691667375</v>
      </c>
      <c r="G50" s="4">
        <f t="shared" si="21"/>
        <v>3054.8805751582822</v>
      </c>
      <c r="H50" s="4">
        <f t="shared" si="22"/>
        <v>3097.3886918469379</v>
      </c>
      <c r="I50" s="1">
        <f t="shared" si="23"/>
        <v>-877.37876382804279</v>
      </c>
    </row>
    <row r="51" spans="1:9" x14ac:dyDescent="0.2">
      <c r="A51" s="26">
        <f t="shared" si="25"/>
        <v>5.1646000000000027E-4</v>
      </c>
      <c r="C51" s="7">
        <f t="shared" si="24"/>
        <v>2.3717021281751745</v>
      </c>
      <c r="D51" s="7">
        <f t="shared" si="24"/>
        <v>2.9822911705279473</v>
      </c>
      <c r="E51" s="7">
        <f t="shared" si="24"/>
        <v>2.6824004140474402</v>
      </c>
      <c r="F51" s="4">
        <f t="shared" si="20"/>
        <v>2270.4942443470122</v>
      </c>
      <c r="G51" s="4">
        <f t="shared" si="21"/>
        <v>3055.0025207737831</v>
      </c>
      <c r="H51" s="4">
        <f t="shared" si="22"/>
        <v>3097.4865317982112</v>
      </c>
      <c r="I51" s="1">
        <f t="shared" si="23"/>
        <v>-877.01670308099347</v>
      </c>
    </row>
    <row r="52" spans="1:9" x14ac:dyDescent="0.2">
      <c r="A52" s="26">
        <f t="shared" si="25"/>
        <v>5.1647000000000032E-4</v>
      </c>
      <c r="C52" s="7">
        <f t="shared" si="24"/>
        <v>2.3718304666628285</v>
      </c>
      <c r="D52" s="7">
        <f t="shared" si="24"/>
        <v>2.9824212402092369</v>
      </c>
      <c r="E52" s="7">
        <f t="shared" si="24"/>
        <v>2.6824840123123157</v>
      </c>
      <c r="F52" s="4">
        <f t="shared" si="20"/>
        <v>2270.6365063192693</v>
      </c>
      <c r="G52" s="4">
        <f t="shared" si="21"/>
        <v>3055.1244563486939</v>
      </c>
      <c r="H52" s="4">
        <f t="shared" si="22"/>
        <v>3097.5843649115695</v>
      </c>
      <c r="I52" s="1">
        <f t="shared" si="23"/>
        <v>-876.65467242046725</v>
      </c>
    </row>
    <row r="53" spans="1:9" x14ac:dyDescent="0.2">
      <c r="A53" s="26">
        <f t="shared" si="25"/>
        <v>5.1648000000000037E-4</v>
      </c>
      <c r="C53" s="7">
        <f t="shared" si="24"/>
        <v>2.3719588001807455</v>
      </c>
      <c r="D53" s="7">
        <f t="shared" si="24"/>
        <v>2.9825513048537493</v>
      </c>
      <c r="E53" s="7">
        <f t="shared" si="24"/>
        <v>2.6825676073399585</v>
      </c>
      <c r="F53" s="4">
        <f t="shared" si="20"/>
        <v>2270.7787550855564</v>
      </c>
      <c r="G53" s="4">
        <f t="shared" si="21"/>
        <v>3055.2463818843676</v>
      </c>
      <c r="H53" s="4">
        <f t="shared" si="22"/>
        <v>3097.6821911877737</v>
      </c>
      <c r="I53" s="1">
        <f t="shared" si="23"/>
        <v>-876.2926718423023</v>
      </c>
    </row>
    <row r="54" spans="1:9" x14ac:dyDescent="0.2">
      <c r="A54" s="26">
        <f t="shared" si="25"/>
        <v>5.1649000000000042E-4</v>
      </c>
      <c r="C54" s="7">
        <f t="shared" si="24"/>
        <v>2.3720871287292131</v>
      </c>
      <c r="D54" s="7">
        <f t="shared" si="24"/>
        <v>2.9826813644617811</v>
      </c>
      <c r="E54" s="7">
        <f t="shared" si="24"/>
        <v>2.6826511991305582</v>
      </c>
      <c r="F54" s="4">
        <f t="shared" si="20"/>
        <v>2270.9209906479196</v>
      </c>
      <c r="G54" s="4">
        <f t="shared" si="21"/>
        <v>3055.3682973821633</v>
      </c>
      <c r="H54" s="4">
        <f t="shared" si="22"/>
        <v>3097.7800106275904</v>
      </c>
      <c r="I54" s="1">
        <f t="shared" si="23"/>
        <v>-875.93070134232767</v>
      </c>
    </row>
    <row r="55" spans="1:9" x14ac:dyDescent="0.2">
      <c r="A55" s="26">
        <f t="shared" si="25"/>
        <v>5.1650000000000047E-4</v>
      </c>
      <c r="C55" s="7">
        <f t="shared" si="24"/>
        <v>2.3722154523085219</v>
      </c>
      <c r="D55" s="7">
        <f t="shared" si="24"/>
        <v>2.9828114190336206</v>
      </c>
      <c r="E55" s="7">
        <f t="shared" si="24"/>
        <v>2.6827347876843026</v>
      </c>
      <c r="F55" s="4">
        <f t="shared" si="20"/>
        <v>2271.0632130084073</v>
      </c>
      <c r="G55" s="4">
        <f t="shared" si="21"/>
        <v>3055.4902028434321</v>
      </c>
      <c r="H55" s="4">
        <f t="shared" si="22"/>
        <v>3097.8778232317836</v>
      </c>
      <c r="I55" s="1">
        <f t="shared" si="23"/>
        <v>-875.56876091637605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Launcher</vt:lpstr>
      <vt:lpstr>Optimization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colasurdo</dc:creator>
  <cp:lastModifiedBy>Alessandro Di Muzio</cp:lastModifiedBy>
  <cp:lastPrinted>2011-11-18T08:38:22Z</cp:lastPrinted>
  <dcterms:created xsi:type="dcterms:W3CDTF">2007-01-13T10:24:18Z</dcterms:created>
  <dcterms:modified xsi:type="dcterms:W3CDTF">2020-02-18T08:13:00Z</dcterms:modified>
</cp:coreProperties>
</file>