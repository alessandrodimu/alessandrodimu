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leja\Desktop\Uni\4 anno\Meccanica del Volo Spaziale\esercitazioni\Es7\"/>
    </mc:Choice>
  </mc:AlternateContent>
  <xr:revisionPtr revIDLastSave="0" documentId="13_ncr:1_{4414D236-7613-4848-BF49-09307E52B2DE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bas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8" l="1"/>
  <c r="F31" i="8"/>
  <c r="F25" i="8"/>
  <c r="N7" i="8"/>
  <c r="J25" i="8"/>
  <c r="I25" i="8" s="1"/>
  <c r="W32" i="8"/>
  <c r="V32" i="8"/>
  <c r="U32" i="8"/>
  <c r="K32" i="8"/>
  <c r="J32" i="8"/>
  <c r="I32" i="8"/>
  <c r="G32" i="8"/>
  <c r="F32" i="8"/>
  <c r="G31" i="8"/>
  <c r="G27" i="8"/>
  <c r="F27" i="8"/>
  <c r="E27" i="8"/>
  <c r="S26" i="8"/>
  <c r="R26" i="8"/>
  <c r="Q26" i="8"/>
  <c r="O26" i="8"/>
  <c r="N26" i="8"/>
  <c r="M26" i="8"/>
  <c r="F26" i="8"/>
  <c r="E26" i="8"/>
  <c r="V25" i="8"/>
  <c r="U25" i="8" s="1"/>
  <c r="W27" i="8" s="1"/>
  <c r="G25" i="8"/>
  <c r="E25" i="8"/>
  <c r="G12" i="8"/>
  <c r="F12" i="8"/>
  <c r="E12" i="8"/>
  <c r="W9" i="8"/>
  <c r="W7" i="8" s="1"/>
  <c r="V9" i="8"/>
  <c r="S8" i="8"/>
  <c r="R8" i="8"/>
  <c r="S14" i="8" s="1"/>
  <c r="Q8" i="8"/>
  <c r="O8" i="8"/>
  <c r="M8" i="8"/>
  <c r="F8" i="8"/>
  <c r="E8" i="8"/>
  <c r="S7" i="8"/>
  <c r="R7" i="8"/>
  <c r="Q7" i="8"/>
  <c r="O7" i="8"/>
  <c r="M7" i="8"/>
  <c r="K7" i="8"/>
  <c r="J7" i="8"/>
  <c r="I7" i="8"/>
  <c r="F30" i="8" l="1"/>
  <c r="G30" i="8"/>
  <c r="N8" i="8"/>
  <c r="M12" i="8" s="1"/>
  <c r="R12" i="8"/>
  <c r="N13" i="8"/>
  <c r="S13" i="8"/>
  <c r="R13" i="8"/>
  <c r="Q14" i="8"/>
  <c r="R14" i="8"/>
  <c r="M14" i="8"/>
  <c r="S12" i="8"/>
  <c r="U7" i="8"/>
  <c r="Q13" i="8"/>
  <c r="V7" i="8"/>
  <c r="G8" i="8"/>
  <c r="G13" i="8" s="1"/>
  <c r="Q12" i="8"/>
  <c r="M13" i="8"/>
  <c r="N14" i="8"/>
  <c r="W25" i="8"/>
  <c r="U27" i="8"/>
  <c r="O12" i="8"/>
  <c r="K25" i="8"/>
  <c r="J27" i="8" s="1"/>
  <c r="V27" i="8"/>
  <c r="O14" i="8" l="1"/>
  <c r="O13" i="8"/>
  <c r="N12" i="8"/>
  <c r="I27" i="8"/>
  <c r="J29" i="8" s="1"/>
  <c r="W29" i="8"/>
  <c r="V29" i="8"/>
  <c r="W13" i="8"/>
  <c r="V14" i="8"/>
  <c r="U12" i="8"/>
  <c r="F13" i="8"/>
  <c r="E13" i="8"/>
  <c r="F14" i="8" s="1"/>
  <c r="U14" i="8"/>
  <c r="W12" i="8"/>
  <c r="V13" i="8"/>
  <c r="V12" i="8"/>
  <c r="U13" i="8"/>
  <c r="W14" i="8"/>
  <c r="K27" i="8"/>
  <c r="K29" i="8" l="1"/>
  <c r="G14" i="8"/>
  <c r="E14" i="8"/>
  <c r="K9" i="8"/>
  <c r="J9" i="8"/>
  <c r="K14" i="8" s="1"/>
  <c r="I14" i="8" l="1"/>
  <c r="K12" i="8"/>
  <c r="K13" i="8"/>
  <c r="J12" i="8"/>
  <c r="I12" i="8"/>
  <c r="I13" i="8"/>
  <c r="J14" i="8"/>
  <c r="J13" i="8"/>
</calcChain>
</file>

<file path=xl/sharedStrings.xml><?xml version="1.0" encoding="utf-8"?>
<sst xmlns="http://schemas.openxmlformats.org/spreadsheetml/2006/main" count="88" uniqueCount="39">
  <si>
    <t xml:space="preserve"> </t>
  </si>
  <si>
    <t>n1</t>
  </si>
  <si>
    <t>n2</t>
  </si>
  <si>
    <t>n3</t>
  </si>
  <si>
    <t>b1</t>
  </si>
  <si>
    <t>b2</t>
  </si>
  <si>
    <t>b3</t>
  </si>
  <si>
    <t>alpha</t>
  </si>
  <si>
    <t>phi</t>
  </si>
  <si>
    <t>cos phi</t>
  </si>
  <si>
    <t>sin phi</t>
  </si>
  <si>
    <t>roll</t>
  </si>
  <si>
    <t>pitch</t>
  </si>
  <si>
    <t>theta</t>
  </si>
  <si>
    <t>yaw</t>
  </si>
  <si>
    <t>psi</t>
  </si>
  <si>
    <t>delta</t>
  </si>
  <si>
    <t>Versore e</t>
  </si>
  <si>
    <t>Versore b1</t>
  </si>
  <si>
    <t>alpha_ij</t>
  </si>
  <si>
    <t>Vettore q</t>
  </si>
  <si>
    <t>q0</t>
  </si>
  <si>
    <t>sin phi/2</t>
  </si>
  <si>
    <t>Versore e (phi =180)</t>
  </si>
  <si>
    <t>Quaternioni</t>
  </si>
  <si>
    <t>Elementi Rotazione Principale</t>
  </si>
  <si>
    <t>Coseni Direttori</t>
  </si>
  <si>
    <t>Angoli di Eulero 3-2-1</t>
  </si>
  <si>
    <t>Angoli di Eulero 3-1-3</t>
  </si>
  <si>
    <t>Omega</t>
  </si>
  <si>
    <t>i</t>
  </si>
  <si>
    <t>omega</t>
  </si>
  <si>
    <t>spin</t>
  </si>
  <si>
    <t>precess.</t>
  </si>
  <si>
    <t>nutazione</t>
  </si>
  <si>
    <t>CODIFICA</t>
  </si>
  <si>
    <t>DECODIFICA</t>
  </si>
  <si>
    <t>Versore b2</t>
  </si>
  <si>
    <t>Vettore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</si>
</sst>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name val="Arial"/>
    </font>
    <font>
      <sz val="10"/>
      <name val="Arial"/>
      <family val="2"/>
    </font>
    <font>
      <b/>
      <sz val="14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Fill="1"/>
    <xf numFmtId="2" fontId="0" fillId="2" borderId="0" xfId="0" applyNumberFormat="1" applyFill="1" applyProtection="1">
      <protection locked="0"/>
    </xf>
    <xf numFmtId="164" fontId="0" fillId="2" borderId="0" xfId="0" applyNumberFormat="1" applyFill="1" applyProtection="1">
      <protection locked="0"/>
    </xf>
    <xf numFmtId="2" fontId="0" fillId="0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 applyProtection="1">
      <protection locked="0"/>
    </xf>
    <xf numFmtId="2" fontId="0" fillId="0" borderId="0" xfId="0" applyNumberFormat="1" applyFill="1" applyBorder="1"/>
    <xf numFmtId="164" fontId="0" fillId="0" borderId="0" xfId="0" applyNumberFormat="1" applyFill="1" applyBorder="1"/>
    <xf numFmtId="164" fontId="0" fillId="0" borderId="0" xfId="0" applyNumberFormat="1" applyFill="1" applyBorder="1" applyProtection="1">
      <protection locked="0"/>
    </xf>
    <xf numFmtId="0" fontId="0" fillId="0" borderId="0" xfId="0" applyBorder="1"/>
    <xf numFmtId="0" fontId="0" fillId="0" borderId="1" xfId="0" applyFill="1" applyBorder="1"/>
    <xf numFmtId="0" fontId="2" fillId="0" borderId="0" xfId="0" applyFont="1" applyFill="1" applyBorder="1" applyAlignment="1">
      <alignment horizontal="center" vertical="center" textRotation="255"/>
    </xf>
    <xf numFmtId="164" fontId="2" fillId="0" borderId="0" xfId="0" applyNumberFormat="1" applyFont="1" applyFill="1" applyBorder="1" applyAlignment="1" applyProtection="1">
      <alignment horizontal="center" vertical="center" textRotation="255"/>
      <protection locked="0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4" xfId="0" applyFont="1" applyFill="1" applyBorder="1" applyAlignment="1">
      <alignment horizontal="center" vertical="center" textRotation="255"/>
    </xf>
    <xf numFmtId="0" fontId="2" fillId="0" borderId="5" xfId="0" applyFont="1" applyFill="1" applyBorder="1" applyAlignment="1">
      <alignment horizontal="center" vertical="center" textRotation="255"/>
    </xf>
    <xf numFmtId="0" fontId="2" fillId="0" borderId="6" xfId="0" applyFont="1" applyFill="1" applyBorder="1" applyAlignment="1">
      <alignment horizontal="center" vertical="center" textRotation="255"/>
    </xf>
    <xf numFmtId="164" fontId="2" fillId="0" borderId="4" xfId="0" applyNumberFormat="1" applyFont="1" applyFill="1" applyBorder="1" applyAlignment="1" applyProtection="1">
      <alignment horizontal="center" vertical="center" textRotation="255"/>
      <protection locked="0"/>
    </xf>
    <xf numFmtId="164" fontId="2" fillId="0" borderId="5" xfId="0" applyNumberFormat="1" applyFont="1" applyFill="1" applyBorder="1" applyAlignment="1" applyProtection="1">
      <alignment horizontal="center" vertical="center" textRotation="255"/>
      <protection locked="0"/>
    </xf>
    <xf numFmtId="164" fontId="2" fillId="0" borderId="6" xfId="0" applyNumberFormat="1" applyFont="1" applyFill="1" applyBorder="1" applyAlignment="1" applyProtection="1">
      <alignment horizontal="center" vertical="center" textRotation="255"/>
      <protection locked="0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workbookViewId="0">
      <selection activeCell="F8" sqref="F8"/>
    </sheetView>
  </sheetViews>
  <sheetFormatPr defaultRowHeight="12.75" x14ac:dyDescent="0.2"/>
  <cols>
    <col min="1" max="1" width="7" customWidth="1"/>
    <col min="2" max="2" width="5.28515625" customWidth="1"/>
    <col min="3" max="3" width="6.42578125" customWidth="1"/>
    <col min="5" max="5" width="10" bestFit="1" customWidth="1"/>
    <col min="8" max="8" width="4.85546875" style="15" customWidth="1"/>
    <col min="12" max="12" width="4.7109375" customWidth="1"/>
    <col min="16" max="16" width="4.7109375" customWidth="1"/>
    <col min="20" max="20" width="4.7109375" customWidth="1"/>
  </cols>
  <sheetData>
    <row r="1" spans="1:24" ht="13.5" thickBot="1" x14ac:dyDescent="0.25">
      <c r="D1" s="22"/>
    </row>
    <row r="2" spans="1:24" ht="12.75" customHeight="1" x14ac:dyDescent="0.2">
      <c r="B2" s="24" t="s">
        <v>35</v>
      </c>
      <c r="C2" s="17"/>
      <c r="D2" s="22"/>
      <c r="E2" s="20" t="s">
        <v>26</v>
      </c>
      <c r="F2" s="20"/>
      <c r="G2" s="20"/>
      <c r="H2" s="9"/>
      <c r="I2" s="20" t="s">
        <v>25</v>
      </c>
      <c r="J2" s="20"/>
      <c r="K2" s="20"/>
      <c r="M2" s="20" t="s">
        <v>27</v>
      </c>
      <c r="N2" s="20"/>
      <c r="O2" s="20"/>
      <c r="Q2" s="20" t="s">
        <v>28</v>
      </c>
      <c r="R2" s="20"/>
      <c r="S2" s="20"/>
      <c r="U2" s="20" t="s">
        <v>24</v>
      </c>
      <c r="V2" s="20"/>
      <c r="W2" s="20"/>
    </row>
    <row r="3" spans="1:24" x14ac:dyDescent="0.2">
      <c r="B3" s="25"/>
      <c r="C3" s="17"/>
      <c r="D3" s="22"/>
      <c r="H3" s="10"/>
    </row>
    <row r="4" spans="1:24" x14ac:dyDescent="0.2">
      <c r="B4" s="25"/>
      <c r="C4" s="17"/>
      <c r="D4" s="22"/>
      <c r="F4" t="s">
        <v>7</v>
      </c>
      <c r="G4" t="s">
        <v>16</v>
      </c>
      <c r="H4" s="10"/>
      <c r="I4" t="s">
        <v>0</v>
      </c>
      <c r="J4" t="s">
        <v>7</v>
      </c>
      <c r="K4" t="s">
        <v>16</v>
      </c>
      <c r="M4" t="s">
        <v>8</v>
      </c>
      <c r="N4" t="s">
        <v>13</v>
      </c>
      <c r="O4" t="s">
        <v>15</v>
      </c>
      <c r="Q4" t="s">
        <v>29</v>
      </c>
      <c r="R4" t="s">
        <v>30</v>
      </c>
      <c r="S4" t="s">
        <v>31</v>
      </c>
      <c r="U4" t="s">
        <v>0</v>
      </c>
      <c r="V4" t="s">
        <v>7</v>
      </c>
      <c r="W4" t="s">
        <v>16</v>
      </c>
    </row>
    <row r="5" spans="1:24" x14ac:dyDescent="0.2">
      <c r="B5" s="25"/>
      <c r="C5" s="17"/>
      <c r="D5" s="22"/>
      <c r="E5" s="19" t="s">
        <v>18</v>
      </c>
      <c r="F5" s="3">
        <v>55</v>
      </c>
      <c r="G5" s="3">
        <v>-11</v>
      </c>
      <c r="H5" s="11"/>
      <c r="I5" t="s">
        <v>17</v>
      </c>
      <c r="J5" s="3">
        <v>-153.71648681050743</v>
      </c>
      <c r="K5" s="3">
        <v>2.7251244248271864</v>
      </c>
      <c r="M5" t="s">
        <v>11</v>
      </c>
      <c r="N5" t="s">
        <v>12</v>
      </c>
      <c r="O5" t="s">
        <v>14</v>
      </c>
      <c r="Q5" t="s">
        <v>33</v>
      </c>
      <c r="R5" t="s">
        <v>34</v>
      </c>
      <c r="S5" t="s">
        <v>32</v>
      </c>
      <c r="U5" t="s">
        <v>17</v>
      </c>
      <c r="V5" s="3">
        <v>-68.77</v>
      </c>
      <c r="W5" s="3">
        <v>19.91</v>
      </c>
    </row>
    <row r="6" spans="1:24" x14ac:dyDescent="0.2">
      <c r="B6" s="25"/>
      <c r="C6" s="17"/>
      <c r="D6" s="22"/>
      <c r="E6" s="19" t="s">
        <v>37</v>
      </c>
      <c r="F6" s="3">
        <v>339.21</v>
      </c>
      <c r="H6" s="10"/>
      <c r="I6" s="20" t="s">
        <v>17</v>
      </c>
      <c r="J6" s="20"/>
      <c r="K6" s="20"/>
      <c r="M6" s="3">
        <v>-106.18887272313501</v>
      </c>
      <c r="N6" s="3">
        <v>12.690747588425499</v>
      </c>
      <c r="O6" s="3">
        <v>83.733547427537005</v>
      </c>
      <c r="Q6" s="3">
        <v>145</v>
      </c>
      <c r="R6" s="3">
        <v>101</v>
      </c>
      <c r="S6" s="3">
        <v>127</v>
      </c>
      <c r="U6" s="20" t="s">
        <v>20</v>
      </c>
      <c r="V6" s="20"/>
      <c r="W6" s="20"/>
    </row>
    <row r="7" spans="1:24" x14ac:dyDescent="0.2">
      <c r="B7" s="25"/>
      <c r="C7" s="17"/>
      <c r="D7" s="22"/>
      <c r="E7" s="21" t="s">
        <v>38</v>
      </c>
      <c r="F7" s="20"/>
      <c r="G7" s="20"/>
      <c r="H7" s="9"/>
      <c r="I7" s="6">
        <f>COS(RADIANS($K$5))*COS(RADIANS($J$5))</f>
        <v>-0.89559992620093165</v>
      </c>
      <c r="J7" s="6">
        <f>COS(RADIANS($K$5))*SIN(RADIANS($J$5))</f>
        <v>-0.44231244182998702</v>
      </c>
      <c r="K7" s="6">
        <f>SIN(RADIANS(K5))</f>
        <v>4.7544463308362553E-2</v>
      </c>
      <c r="M7" s="6">
        <f>SIN(RADIANS(M6))</f>
        <v>-0.96034784976526466</v>
      </c>
      <c r="N7" s="6">
        <f>SIN(RADIANS(N6))</f>
        <v>0.21968866724657621</v>
      </c>
      <c r="O7" s="6">
        <f>SIN(RADIANS(O6))</f>
        <v>0.99402503594685021</v>
      </c>
      <c r="Q7" s="6">
        <f>SIN(RADIANS(Q6))</f>
        <v>0.57357643635104594</v>
      </c>
      <c r="R7" s="6">
        <f>SIN(RADIANS(R6))</f>
        <v>0.98162718344766398</v>
      </c>
      <c r="S7" s="6">
        <f>SIN(RADIANS(S6))</f>
        <v>0.79863551004729272</v>
      </c>
      <c r="U7" s="6">
        <f>COS(RADIANS($W$5))*COS(RADIANS($V$5))*$W$9</f>
        <v>0.3391731537702028</v>
      </c>
      <c r="V7" s="6">
        <f>COS(RADIANS($W$5))*SIN(RADIANS($V$5))*$W$9</f>
        <v>-0.87308441100999157</v>
      </c>
      <c r="W7" s="6">
        <f>SIN(RADIANS(W5))*$W$9</f>
        <v>0.3392477848402472</v>
      </c>
    </row>
    <row r="8" spans="1:24" x14ac:dyDescent="0.2">
      <c r="B8" s="25"/>
      <c r="C8" s="17"/>
      <c r="D8" s="22"/>
      <c r="E8" s="7">
        <f>COS(RADIANS($F$6))</f>
        <v>0.93488764001439806</v>
      </c>
      <c r="F8" s="7">
        <f>SIN(RADIANS($F$6))</f>
        <v>-0.35494379914052487</v>
      </c>
      <c r="G8" s="7">
        <f>-(E$12*E8+F$12*F8)/G$12</f>
        <v>1.2628675371666152</v>
      </c>
      <c r="H8" s="12"/>
      <c r="I8" t="s">
        <v>8</v>
      </c>
      <c r="J8" t="s">
        <v>9</v>
      </c>
      <c r="K8" t="s">
        <v>10</v>
      </c>
      <c r="M8" s="6">
        <f>COS(RADIANS(M6))</f>
        <v>-0.27880460442975591</v>
      </c>
      <c r="N8" s="6">
        <f>COS(RADIANS(N6))</f>
        <v>0.97557003310035262</v>
      </c>
      <c r="O8" s="6">
        <f>COS(RADIANS(O6))</f>
        <v>0.10915231518782859</v>
      </c>
      <c r="Q8" s="6">
        <f>COS(RADIANS(Q6))</f>
        <v>-0.81915204428899191</v>
      </c>
      <c r="R8" s="6">
        <f>COS(RADIANS(R6))</f>
        <v>-0.1908089953765448</v>
      </c>
      <c r="S8" s="6">
        <f>COS(RADIANS(S6))</f>
        <v>-0.60181502315204838</v>
      </c>
      <c r="U8" t="s">
        <v>8</v>
      </c>
      <c r="V8" t="s">
        <v>21</v>
      </c>
      <c r="W8" t="s">
        <v>22</v>
      </c>
    </row>
    <row r="9" spans="1:24" x14ac:dyDescent="0.2">
      <c r="B9" s="25"/>
      <c r="C9" s="17"/>
      <c r="D9" s="22"/>
      <c r="E9" t="s">
        <v>0</v>
      </c>
      <c r="F9" s="1" t="s">
        <v>0</v>
      </c>
      <c r="H9" s="10"/>
      <c r="I9" s="3">
        <v>124.558812059113</v>
      </c>
      <c r="J9" s="6">
        <f>COS(RADIANS($I$9))</f>
        <v>-0.56725187430835433</v>
      </c>
      <c r="K9" s="6">
        <f>SIN(RADIANS($I$9))</f>
        <v>0.82354435891071398</v>
      </c>
      <c r="U9" s="3">
        <v>170</v>
      </c>
      <c r="V9" s="6">
        <f>COS(RADIANS($U$9/2))</f>
        <v>8.7155742747658138E-2</v>
      </c>
      <c r="W9" s="6">
        <f>SIN(RADIANS($U$9/2))</f>
        <v>0.99619469809174555</v>
      </c>
    </row>
    <row r="10" spans="1:24" x14ac:dyDescent="0.2">
      <c r="B10" s="25"/>
      <c r="C10" s="17"/>
      <c r="D10" s="22"/>
      <c r="H10" s="10"/>
    </row>
    <row r="11" spans="1:24" x14ac:dyDescent="0.2">
      <c r="B11" s="25"/>
      <c r="C11" s="17"/>
      <c r="D11" s="22"/>
      <c r="H11" s="10"/>
      <c r="O11" s="2"/>
      <c r="S11" s="2"/>
    </row>
    <row r="12" spans="1:24" x14ac:dyDescent="0.2">
      <c r="B12" s="25"/>
      <c r="C12" s="17"/>
      <c r="D12" s="22"/>
      <c r="E12" s="6">
        <f>COS(RADIANS($G$5))*COS(RADIANS($F$5))</f>
        <v>0.56303822170722573</v>
      </c>
      <c r="F12" s="6">
        <f>COS(RADIANS($G$5))*SIN(RADIANS($F$5))</f>
        <v>0.80410191405079912</v>
      </c>
      <c r="G12" s="6">
        <f>SIN(RADIANS($G$5))</f>
        <v>-0.1908089953765448</v>
      </c>
      <c r="H12" s="13"/>
      <c r="I12" s="6">
        <f>I7^2*(1-$J$9)+$J$9</f>
        <v>0.68983964385989816</v>
      </c>
      <c r="J12" s="6">
        <f>I7*J7*(1-$J$9)+K7*$K$9</f>
        <v>0.65999828052022791</v>
      </c>
      <c r="K12" s="6">
        <f>I7*K7*(1-$J$9)-J7*$K$9</f>
        <v>0.29752904979109479</v>
      </c>
      <c r="M12" s="6">
        <f>N8*O8</f>
        <v>0.10648572774077006</v>
      </c>
      <c r="N12" s="6">
        <f>N8*O7</f>
        <v>0.96974103722124783</v>
      </c>
      <c r="O12" s="6">
        <f>-N7</f>
        <v>-0.21968866724657621</v>
      </c>
      <c r="Q12" s="6">
        <f>Q8*S8-Q7*S7*R8</f>
        <v>0.58038350675664918</v>
      </c>
      <c r="R12" s="6">
        <f>Q7*S8+Q8*S7*R8</f>
        <v>-0.22035892535056859</v>
      </c>
      <c r="S12" s="6">
        <f>R7*S7</f>
        <v>0.78396232632901253</v>
      </c>
      <c r="U12" s="6">
        <f>1-2*($V$7^2+$W$7^2)</f>
        <v>-0.75473089653535697</v>
      </c>
      <c r="V12" s="6">
        <f>2*($U$7*$V$7+$V$9*$W$7)</f>
        <v>-0.53311880105321863</v>
      </c>
      <c r="W12" s="6">
        <f>2*($U$7*$W$7-$V$9*$V$7)</f>
        <v>0.38231612283359856</v>
      </c>
    </row>
    <row r="13" spans="1:24" x14ac:dyDescent="0.2">
      <c r="B13" s="25"/>
      <c r="C13" s="17"/>
      <c r="D13" s="22"/>
      <c r="E13" s="6">
        <f>E8/SQRT($E8^2+$F8^2+$G8^2)</f>
        <v>0.58036951645589219</v>
      </c>
      <c r="F13" s="6">
        <f>F8/SQRT($E8^2+$F8^2+$G8^2)</f>
        <v>-0.22034579585738368</v>
      </c>
      <c r="G13" s="6">
        <f>G8/SQRT($E8^2+$F8^2+$G8^2)</f>
        <v>0.78397637376181828</v>
      </c>
      <c r="H13" s="13"/>
      <c r="I13" s="6">
        <f>J7*I7*(1-$J$9)-K7*$K$9</f>
        <v>0.5816883314101492</v>
      </c>
      <c r="J13" s="6">
        <f>J7^2*(1-$J$9)+$J$9</f>
        <v>-0.26063425340241525</v>
      </c>
      <c r="K13" s="6">
        <f>J7*K7*(1-$J$9)+I7*$K$9</f>
        <v>-0.77052480236176835</v>
      </c>
      <c r="M13" s="6">
        <f>M7*N7*O8-M8*O7</f>
        <v>0.25411007008324638</v>
      </c>
      <c r="N13" s="6">
        <f>M7*N7*O7+M8*O8</f>
        <v>-0.24014912405379069</v>
      </c>
      <c r="O13" s="6">
        <f>M7*N8</f>
        <v>-0.93688658358335175</v>
      </c>
      <c r="Q13" s="6">
        <f>-Q8*S7-Q7*S8*R8</f>
        <v>0.58833914197647919</v>
      </c>
      <c r="R13" s="6">
        <f>+Q8*S8*R8-Q7*S7</f>
        <v>-0.55214314795909913</v>
      </c>
      <c r="S13" s="6">
        <f>R7*S8</f>
        <v>-0.59075798613323594</v>
      </c>
      <c r="U13" s="6">
        <f>2*($U$7*$V$7-$V$9*$W$7)</f>
        <v>-0.65138837170621655</v>
      </c>
      <c r="V13" s="6">
        <f>1-2*($U$7^2+$W$7^2)</f>
        <v>0.53974502448511941</v>
      </c>
      <c r="W13" s="6">
        <f>2*($V$7*$W$7+$V$9*$U$7)</f>
        <v>-0.53326212855356769</v>
      </c>
    </row>
    <row r="14" spans="1:24" ht="13.5" thickBot="1" x14ac:dyDescent="0.25">
      <c r="B14" s="26"/>
      <c r="C14" s="17"/>
      <c r="D14" s="22"/>
      <c r="E14" s="6">
        <f>F12*G13-G12*F13</f>
        <v>0.58835294276949013</v>
      </c>
      <c r="F14" s="6">
        <f>G12*E13-E12*G13</f>
        <v>-0.55214838772545338</v>
      </c>
      <c r="G14" s="6">
        <f>E12*F13-F12*E13</f>
        <v>-0.59073934409912432</v>
      </c>
      <c r="H14" s="13"/>
      <c r="I14" s="6">
        <f>K7*I7*(1-$J$9)+J7*$K$9</f>
        <v>-0.43099878289912347</v>
      </c>
      <c r="J14" s="6">
        <f>K7*J7*(1-$J$9)-I7*$K$9</f>
        <v>0.70460773176548974</v>
      </c>
      <c r="K14" s="6">
        <f>K7^2*(1-$J$9)+$J$9</f>
        <v>-0.5637091390741914</v>
      </c>
      <c r="M14" s="6">
        <f>M8*N7*O8+M7*O7</f>
        <v>-0.96129540832660076</v>
      </c>
      <c r="N14" s="6">
        <f>M8*N7*O7-M7*O8</f>
        <v>4.3939947032914532E-2</v>
      </c>
      <c r="O14" s="6">
        <f>M8*N8</f>
        <v>-0.27199341717206771</v>
      </c>
      <c r="Q14" s="6">
        <f>Q7*R7</f>
        <v>0.56303822170722551</v>
      </c>
      <c r="R14" s="6">
        <f>-Q8*R7</f>
        <v>0.80410191405079923</v>
      </c>
      <c r="S14" s="6">
        <f>R8</f>
        <v>-0.1908089953765448</v>
      </c>
      <c r="U14" s="6">
        <f>2*($U$7*$W$7+$V$9*$V$7)</f>
        <v>7.7938841541688786E-2</v>
      </c>
      <c r="V14" s="6">
        <f>2*($V$7*$W$7-$V$9*$U$7)</f>
        <v>-0.65150568110119855</v>
      </c>
      <c r="W14" s="6">
        <f>1-2*($U$7^2+$V$7^2)</f>
        <v>-0.75462963397417893</v>
      </c>
    </row>
    <row r="15" spans="1:24" x14ac:dyDescent="0.2">
      <c r="D15" s="22"/>
      <c r="H15" s="10"/>
    </row>
    <row r="16" spans="1:24" x14ac:dyDescent="0.2">
      <c r="A16" s="8"/>
      <c r="B16" s="8"/>
      <c r="C16" s="8"/>
      <c r="D16" s="23"/>
      <c r="E16" s="8"/>
      <c r="F16" s="8"/>
      <c r="G16" s="8"/>
      <c r="H16" s="1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2:23" x14ac:dyDescent="0.2">
      <c r="D17" s="22"/>
      <c r="H17" s="10"/>
    </row>
    <row r="18" spans="2:23" ht="13.5" thickBot="1" x14ac:dyDescent="0.25">
      <c r="D18" s="22"/>
      <c r="H18" s="10"/>
    </row>
    <row r="19" spans="2:23" ht="12.75" customHeight="1" x14ac:dyDescent="0.2">
      <c r="B19" s="27" t="s">
        <v>36</v>
      </c>
      <c r="C19" s="18"/>
      <c r="D19" s="22"/>
      <c r="E19" s="4">
        <v>0.56303822170722573</v>
      </c>
      <c r="F19" s="4">
        <v>0.80410191405079912</v>
      </c>
      <c r="G19" s="4">
        <v>-0.1908089953765448</v>
      </c>
      <c r="H19" s="14"/>
      <c r="I19" s="4">
        <v>0.10648572774077006</v>
      </c>
      <c r="J19" s="4">
        <v>0.96974103722124783</v>
      </c>
      <c r="K19" s="4">
        <v>-0.21968866724657621</v>
      </c>
      <c r="M19" s="4">
        <v>0.10648572774077006</v>
      </c>
      <c r="N19" s="4">
        <v>0.96974103722124783</v>
      </c>
      <c r="O19" s="4">
        <v>-0.21968866724657621</v>
      </c>
      <c r="Q19" s="4">
        <v>0.10648572774077006</v>
      </c>
      <c r="R19" s="4">
        <v>0.96974103722124783</v>
      </c>
      <c r="S19" s="4">
        <v>-0.21968866724657621</v>
      </c>
      <c r="U19" s="4">
        <v>0.10648572774077006</v>
      </c>
      <c r="V19" s="4">
        <v>0.96974103722124783</v>
      </c>
      <c r="W19" s="4">
        <v>-0.21968866724657621</v>
      </c>
    </row>
    <row r="20" spans="2:23" x14ac:dyDescent="0.2">
      <c r="B20" s="28"/>
      <c r="C20" s="18"/>
      <c r="D20" s="22"/>
      <c r="E20" s="4">
        <v>0.58036951645589219</v>
      </c>
      <c r="F20" s="4">
        <v>-0.22034579585738368</v>
      </c>
      <c r="G20" s="4">
        <v>0.78397637376181828</v>
      </c>
      <c r="H20" s="14"/>
      <c r="I20" s="4">
        <v>0.25411007008324638</v>
      </c>
      <c r="J20" s="4">
        <v>-0.24014912405379069</v>
      </c>
      <c r="K20" s="4">
        <v>-0.93688658358335175</v>
      </c>
      <c r="M20" s="4">
        <v>0.25411007008324638</v>
      </c>
      <c r="N20" s="4">
        <v>-0.24014912405379069</v>
      </c>
      <c r="O20" s="4">
        <v>-0.93688658358335175</v>
      </c>
      <c r="Q20" s="4">
        <v>0.25411007008324638</v>
      </c>
      <c r="R20" s="4">
        <v>-0.24014912405379069</v>
      </c>
      <c r="S20" s="4">
        <v>-0.93688658358335175</v>
      </c>
      <c r="U20" s="4">
        <v>0.25411007008324638</v>
      </c>
      <c r="V20" s="4">
        <v>-0.24014912405379069</v>
      </c>
      <c r="W20" s="4">
        <v>-0.93688658358335175</v>
      </c>
    </row>
    <row r="21" spans="2:23" x14ac:dyDescent="0.2">
      <c r="B21" s="28"/>
      <c r="C21" s="18"/>
      <c r="D21" s="22"/>
      <c r="E21" s="4">
        <v>0.58835294276949013</v>
      </c>
      <c r="F21" s="4">
        <v>-0.55214838772545338</v>
      </c>
      <c r="G21" s="4">
        <v>-0.59073934409912432</v>
      </c>
      <c r="H21" s="14"/>
      <c r="I21" s="4">
        <v>-0.96129540832660076</v>
      </c>
      <c r="J21" s="4">
        <v>4.3939947032914532E-2</v>
      </c>
      <c r="K21" s="4">
        <v>-0.27199341717206771</v>
      </c>
      <c r="M21" s="4">
        <v>-0.96129540832660076</v>
      </c>
      <c r="N21" s="4">
        <v>4.3939947032914532E-2</v>
      </c>
      <c r="O21" s="4">
        <v>-0.27199341717206771</v>
      </c>
      <c r="Q21" s="4">
        <v>-0.96129540832660076</v>
      </c>
      <c r="R21" s="4">
        <v>4.3939947032914532E-2</v>
      </c>
      <c r="S21" s="4">
        <v>-0.27199341717206771</v>
      </c>
      <c r="U21" s="4">
        <v>-0.96129540832660076</v>
      </c>
      <c r="V21" s="4">
        <v>4.3939947032914532E-2</v>
      </c>
      <c r="W21" s="4">
        <v>-0.27199341717206771</v>
      </c>
    </row>
    <row r="22" spans="2:23" x14ac:dyDescent="0.2">
      <c r="B22" s="28"/>
      <c r="C22" s="18"/>
      <c r="D22" s="22"/>
      <c r="H22" s="10"/>
    </row>
    <row r="23" spans="2:23" x14ac:dyDescent="0.2">
      <c r="B23" s="28"/>
      <c r="C23" s="18"/>
      <c r="D23" s="22"/>
      <c r="H23" s="10"/>
    </row>
    <row r="24" spans="2:23" x14ac:dyDescent="0.2">
      <c r="B24" s="28"/>
      <c r="C24" s="18"/>
      <c r="D24" s="22" t="s">
        <v>19</v>
      </c>
      <c r="E24" t="s">
        <v>1</v>
      </c>
      <c r="F24" t="s">
        <v>2</v>
      </c>
      <c r="G24" t="s">
        <v>3</v>
      </c>
      <c r="H24" s="10"/>
      <c r="I24" t="s">
        <v>8</v>
      </c>
      <c r="J24" t="s">
        <v>9</v>
      </c>
      <c r="K24" t="s">
        <v>10</v>
      </c>
      <c r="M24" t="s">
        <v>8</v>
      </c>
      <c r="N24" t="s">
        <v>13</v>
      </c>
      <c r="O24" t="s">
        <v>15</v>
      </c>
      <c r="Q24" t="s">
        <v>29</v>
      </c>
      <c r="R24" t="s">
        <v>30</v>
      </c>
      <c r="S24" t="s">
        <v>31</v>
      </c>
      <c r="U24" t="s">
        <v>8</v>
      </c>
      <c r="V24" t="s">
        <v>21</v>
      </c>
      <c r="W24" t="s">
        <v>22</v>
      </c>
    </row>
    <row r="25" spans="2:23" x14ac:dyDescent="0.2">
      <c r="B25" s="28"/>
      <c r="C25" s="18"/>
      <c r="D25" s="22" t="s">
        <v>4</v>
      </c>
      <c r="E25" s="7">
        <f t="shared" ref="E25:G27" si="0">DEGREES(ACOS(E19))</f>
        <v>55.733827470575427</v>
      </c>
      <c r="F25" s="7">
        <f t="shared" si="0"/>
        <v>36.476388869161987</v>
      </c>
      <c r="G25" s="7">
        <f t="shared" si="0"/>
        <v>101</v>
      </c>
      <c r="H25" s="12"/>
      <c r="I25" s="7">
        <f>IF(J25&gt;-0.999999,DEGREES(ACOS(J25)),180)</f>
        <v>134.65437025641285</v>
      </c>
      <c r="J25" s="6">
        <f>(I19+J20+K21-1)/2</f>
        <v>-0.7028284067425441</v>
      </c>
      <c r="K25" s="6">
        <f>SIN(RADIANS(I25))</f>
        <v>0.71135942439510658</v>
      </c>
      <c r="M25" t="s">
        <v>11</v>
      </c>
      <c r="N25" t="s">
        <v>12</v>
      </c>
      <c r="O25" t="s">
        <v>14</v>
      </c>
      <c r="Q25" t="s">
        <v>33</v>
      </c>
      <c r="R25" t="s">
        <v>34</v>
      </c>
      <c r="S25" t="s">
        <v>32</v>
      </c>
      <c r="U25" s="7">
        <f>2*DEGREES(ACOS(V25))</f>
        <v>134.65437025641288</v>
      </c>
      <c r="V25" s="6">
        <f>IF(1+U19+V20+W21&gt;0,SQRT(1+U19+V20+W21)/2,0)</f>
        <v>0.38546828226032798</v>
      </c>
      <c r="W25" s="6">
        <f>SIN(RADIANS($U$25/2))</f>
        <v>0.92272108644555861</v>
      </c>
    </row>
    <row r="26" spans="2:23" x14ac:dyDescent="0.2">
      <c r="B26" s="28"/>
      <c r="C26" s="18"/>
      <c r="D26" s="22" t="s">
        <v>5</v>
      </c>
      <c r="E26" s="7">
        <f t="shared" si="0"/>
        <v>54.523463344315381</v>
      </c>
      <c r="F26" s="7">
        <f t="shared" si="0"/>
        <v>102.72934405358259</v>
      </c>
      <c r="G26" s="7">
        <f t="shared" si="0"/>
        <v>38.37389577951533</v>
      </c>
      <c r="H26" s="12"/>
      <c r="I26" s="20" t="s">
        <v>17</v>
      </c>
      <c r="J26" s="20"/>
      <c r="K26" s="20"/>
      <c r="M26" s="7">
        <f>DEGREES(ATAN2(O21, O20))</f>
        <v>-106.18887272313501</v>
      </c>
      <c r="N26" s="7">
        <f>DEGREES(ASIN(-O19))</f>
        <v>12.690747588425499</v>
      </c>
      <c r="O26" s="7">
        <f>DEGREES(ATAN2(M19, N19))</f>
        <v>83.733547427537005</v>
      </c>
      <c r="Q26" s="7">
        <f>DEGREES(ATAN2(-R21,Q21))</f>
        <v>-92.617116808804354</v>
      </c>
      <c r="R26" s="7">
        <f>DEGREES(ACOS(S21))</f>
        <v>105.78292128375003</v>
      </c>
      <c r="S26" s="7">
        <f>DEGREES(ATAN2(S20, S19))</f>
        <v>-166.80325180044807</v>
      </c>
      <c r="U26" s="20" t="s">
        <v>20</v>
      </c>
      <c r="V26" s="20"/>
      <c r="W26" s="20"/>
    </row>
    <row r="27" spans="2:23" x14ac:dyDescent="0.2">
      <c r="B27" s="28"/>
      <c r="C27" s="18"/>
      <c r="D27" s="22" t="s">
        <v>6</v>
      </c>
      <c r="E27" s="7">
        <f t="shared" si="0"/>
        <v>53.959785064137591</v>
      </c>
      <c r="F27" s="7">
        <f t="shared" si="0"/>
        <v>123.51452654820214</v>
      </c>
      <c r="G27" s="7">
        <f t="shared" si="0"/>
        <v>126.2094918701098</v>
      </c>
      <c r="H27" s="12"/>
      <c r="I27" s="6">
        <f>IF(I25&lt;180,(K20-J21)/2/K25,I32)</f>
        <v>-0.6894029213504107</v>
      </c>
      <c r="J27" s="6">
        <f>IF(I25&lt;180,(I21-K19)/2/$K25,J32)</f>
        <v>-0.52126022067581257</v>
      </c>
      <c r="K27" s="6">
        <f>IF(I25&lt;180,(J19-I20)/2/$K25,K32)</f>
        <v>0.50300238008832676</v>
      </c>
      <c r="N27" t="s">
        <v>0</v>
      </c>
      <c r="R27" t="s">
        <v>0</v>
      </c>
      <c r="U27" s="6">
        <f>IF(U25&lt;180,(W20-V21)/4/$V$25,U32)</f>
        <v>-0.63612661258719339</v>
      </c>
      <c r="V27" s="6">
        <f>IF(U25&lt;180,(U21-W19)/4/$V$25,V32)</f>
        <v>-0.48097779714283773</v>
      </c>
      <c r="W27" s="6">
        <f>IF(U25&lt;180,(V19-U20)/4/$V$25,W32)</f>
        <v>0.46413090263980294</v>
      </c>
    </row>
    <row r="28" spans="2:23" x14ac:dyDescent="0.2">
      <c r="B28" s="28"/>
      <c r="C28" s="18"/>
      <c r="D28" s="22"/>
      <c r="H28" s="10"/>
      <c r="I28" t="s">
        <v>0</v>
      </c>
      <c r="J28" t="s">
        <v>7</v>
      </c>
      <c r="K28" t="s">
        <v>16</v>
      </c>
      <c r="M28" t="s">
        <v>0</v>
      </c>
      <c r="Q28" t="s">
        <v>0</v>
      </c>
      <c r="U28" t="s">
        <v>0</v>
      </c>
      <c r="V28" t="s">
        <v>7</v>
      </c>
      <c r="W28" t="s">
        <v>16</v>
      </c>
    </row>
    <row r="29" spans="2:23" x14ac:dyDescent="0.2">
      <c r="B29" s="28"/>
      <c r="C29" s="18"/>
      <c r="D29" s="22"/>
      <c r="F29" t="s">
        <v>7</v>
      </c>
      <c r="G29" t="s">
        <v>16</v>
      </c>
      <c r="H29" s="10"/>
      <c r="I29" t="s">
        <v>17</v>
      </c>
      <c r="J29" s="7">
        <f>DEGREES(ATAN2(I27, J27))</f>
        <v>-142.90693250417814</v>
      </c>
      <c r="K29" s="7">
        <f>DEGREES(ATAN(K27/SQRT(I27^2+J27^2)))</f>
        <v>30.198835459790473</v>
      </c>
      <c r="U29" t="s">
        <v>20</v>
      </c>
      <c r="V29" s="7">
        <f>DEGREES(ATAN2(U27*SIGN(W25), V27*SIGN(W25)))</f>
        <v>-142.90693250417814</v>
      </c>
      <c r="W29" s="7">
        <f>DEGREES(ATAN(W27*SIGN(W25)/SQRT(U27^2+V27^2)))</f>
        <v>30.198835459790466</v>
      </c>
    </row>
    <row r="30" spans="2:23" x14ac:dyDescent="0.2">
      <c r="B30" s="28"/>
      <c r="C30" s="18"/>
      <c r="D30" s="22"/>
      <c r="E30" t="s">
        <v>4</v>
      </c>
      <c r="F30" s="7">
        <f>DEGREES(ATAN2(E19, F19))</f>
        <v>55</v>
      </c>
      <c r="G30" s="7">
        <f>DEGREES(ATAN(G19/SQRT(E19^2+F19^2)))</f>
        <v>-11</v>
      </c>
      <c r="H30" s="12"/>
    </row>
    <row r="31" spans="2:23" x14ac:dyDescent="0.2">
      <c r="B31" s="28"/>
      <c r="C31" s="18"/>
      <c r="D31" s="22"/>
      <c r="E31" t="s">
        <v>5</v>
      </c>
      <c r="F31" s="7">
        <f>DEGREES(ATAN2(E20, F20))</f>
        <v>-20.790000000000045</v>
      </c>
      <c r="G31" s="7">
        <f>DEGREES(ATAN(G20/SQRT(E20^2+F20^2)))</f>
        <v>51.62610422048467</v>
      </c>
      <c r="H31" s="12"/>
      <c r="I31" s="20" t="s">
        <v>23</v>
      </c>
      <c r="J31" s="20"/>
      <c r="K31" s="20"/>
      <c r="U31" s="20" t="s">
        <v>23</v>
      </c>
      <c r="V31" s="20"/>
      <c r="W31" s="20"/>
    </row>
    <row r="32" spans="2:23" ht="13.5" thickBot="1" x14ac:dyDescent="0.25">
      <c r="B32" s="29"/>
      <c r="C32" s="18"/>
      <c r="D32" s="22"/>
      <c r="E32" t="s">
        <v>6</v>
      </c>
      <c r="F32" s="7">
        <f>DEGREES(ATAN2(E21, F21))</f>
        <v>-43.181789198576112</v>
      </c>
      <c r="G32" s="7">
        <f>DEGREES(ATAN(G21/SQRT(E21^2+F21^2)))</f>
        <v>-36.209491870109787</v>
      </c>
      <c r="H32" s="12"/>
      <c r="I32" s="6">
        <f>SQRT((I19+1)/2)</f>
        <v>0.74380297382464466</v>
      </c>
      <c r="J32" s="6">
        <f>IF(J19&gt;0,SQRT((J20+1)/2),-SQRT((J20+1)/2))</f>
        <v>0.61638091954010443</v>
      </c>
      <c r="K32" s="6">
        <f>IF(I21&gt;0,SQRT((K21+1)/2),-SQRT((K21+1)/2))</f>
        <v>-0.60332685288653132</v>
      </c>
      <c r="U32" s="6">
        <f>SQRT((U19+1)/2)</f>
        <v>0.74380297382464466</v>
      </c>
      <c r="V32" s="6">
        <f>IF(V19&gt;0,SQRT((V20+1)/2),-SQRT((V20+1)/2))</f>
        <v>0.61638091954010443</v>
      </c>
      <c r="W32" s="6">
        <f>IF(U21&gt;0,SQRT((W21+1)/2),-SQRT((W21+1)/2))</f>
        <v>-0.60332685288653132</v>
      </c>
    </row>
    <row r="33" spans="4:8" x14ac:dyDescent="0.2">
      <c r="D33" s="22"/>
      <c r="F33" s="5"/>
      <c r="G33" s="5"/>
      <c r="H33" s="12"/>
    </row>
    <row r="34" spans="4:8" x14ac:dyDescent="0.2">
      <c r="D34" s="22"/>
      <c r="H34" s="10"/>
    </row>
    <row r="39" spans="4:8" ht="12.75" customHeight="1" x14ac:dyDescent="0.2"/>
  </sheetData>
  <mergeCells count="14">
    <mergeCell ref="U2:W2"/>
    <mergeCell ref="I6:K6"/>
    <mergeCell ref="U6:W6"/>
    <mergeCell ref="E7:G7"/>
    <mergeCell ref="B2:B14"/>
    <mergeCell ref="B19:B32"/>
    <mergeCell ref="E2:G2"/>
    <mergeCell ref="I2:K2"/>
    <mergeCell ref="M2:O2"/>
    <mergeCell ref="Q2:S2"/>
    <mergeCell ref="I26:K26"/>
    <mergeCell ref="U26:W26"/>
    <mergeCell ref="I31:K31"/>
    <mergeCell ref="U31:W31"/>
  </mergeCells>
  <pageMargins left="0.59055118110236227" right="0.59055118110236227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base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colasurdo</dc:creator>
  <cp:lastModifiedBy>Alessandro Di Muzio</cp:lastModifiedBy>
  <cp:lastPrinted>2008-04-21T06:11:14Z</cp:lastPrinted>
  <dcterms:created xsi:type="dcterms:W3CDTF">2006-05-03T09:29:26Z</dcterms:created>
  <dcterms:modified xsi:type="dcterms:W3CDTF">2020-02-10T09:19:20Z</dcterms:modified>
</cp:coreProperties>
</file>